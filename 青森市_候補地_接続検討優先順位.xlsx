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順位サマリ" sheetId="1" state="visible" r:id="rId1"/>
    <sheet name="筆別一覧" sheetId="2" state="visible" r:id="rId2"/>
    <sheet name="系統空き容量" sheetId="3" state="visible" r:id="rId3"/>
    <sheet name="評価基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0000"/>
      <sz val="9"/>
    </font>
    <font>
      <name val="Arial"/>
      <color rgb="FFC00000"/>
      <sz val="9"/>
    </font>
    <font>
      <name val="Arial"/>
      <color rgb="FF0000FF"/>
      <sz val="9"/>
    </font>
    <font>
      <name val="Arial"/>
      <b val="1"/>
      <color rgb="FF000000"/>
      <sz val="11"/>
    </font>
    <font>
      <name val="Arial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2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0" fontId="6" fillId="0" borderId="1" applyAlignment="1" pivotButton="0" quotePrefix="0" xfId="0">
      <alignment vertical="top"/>
    </xf>
    <xf numFmtId="4" fontId="6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4" fontId="4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3" borderId="0" pivotButton="0" quotePrefix="0" xfId="0"/>
    <xf numFmtId="0" fontId="5" fillId="0" borderId="1" pivotButton="0" quotePrefix="0" xfId="0"/>
    <xf numFmtId="9" fontId="10" fillId="4" borderId="1" pivotButton="0" quotePrefix="0" xfId="0"/>
    <xf numFmtId="0" fontId="6" fillId="0" borderId="1" pivotButton="0" quotePrefix="0" xfId="0"/>
    <xf numFmtId="9" fontId="4" fillId="0" borderId="0" pivotButton="0" quotePrefix="0" xfId="0"/>
    <xf numFmtId="0" fontId="5" fillId="0" borderId="0" pivotButton="0" quotePrefix="0" xfId="0"/>
    <xf numFmtId="9" fontId="10" fillId="4" borderId="0" pivotButton="0" quotePrefix="0" xfId="0"/>
    <xf numFmtId="3" fontId="10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8" customWidth="1" min="9" max="9"/>
    <col width="8" customWidth="1" min="10" max="10"/>
    <col width="10" customWidth="1" min="11" max="11"/>
    <col width="9" customWidth="1" min="12" max="12"/>
    <col width="12" customWidth="1" min="13" max="13"/>
    <col width="8" customWidth="1" min="14" max="14"/>
    <col width="70" customWidth="1" min="15" max="15"/>
  </cols>
  <sheetData>
    <row r="1">
      <c r="A1" s="1" t="inlineStr">
        <is>
          <t>青森市 候補地 接続検討 優先順位（クラスタ単位）</t>
        </is>
      </c>
    </row>
    <row r="2">
      <c r="A2" s="2" t="inlineStr">
        <is>
          <t>出典：WHERE_3.csv（2026/9/3取得）＋東北電力ネットワーク公表の系統情報（2026/7/3時点、蓄電所ネット経由で2026/8/16取得）</t>
        </is>
      </c>
    </row>
    <row r="3">
      <c r="A3" s="2" t="inlineStr">
        <is>
          <t>総合点＝各評価点×ウェイト（ウェイトは『評価基準』シートの黄色セルで変更可）。5点満点・点が高いほど優先。</t>
        </is>
      </c>
    </row>
    <row r="5" ht="40" customHeight="1">
      <c r="A5" s="3" t="inlineStr">
        <is>
          <t>優先</t>
        </is>
      </c>
      <c r="B5" s="3" t="inlineStr">
        <is>
          <t>区分</t>
        </is>
      </c>
      <c r="C5" s="3" t="inlineStr">
        <is>
          <t>エリア（大字・字）</t>
        </is>
      </c>
      <c r="D5" s="3" t="inlineStr">
        <is>
          <t>対象筆数</t>
        </is>
      </c>
      <c r="E5" s="3" t="inlineStr">
        <is>
          <t>合計面積(㎡)</t>
        </is>
      </c>
      <c r="F5" s="3" t="inlineStr">
        <is>
          <t>連系先変電所</t>
        </is>
      </c>
      <c r="G5" s="3" t="inlineStr">
        <is>
          <t>空き容量(MW)</t>
        </is>
      </c>
      <c r="H5" s="3" t="inlineStr">
        <is>
          <t>概算設置規模(MW)</t>
        </is>
      </c>
      <c r="I5" s="3" t="inlineStr">
        <is>
          <t>系統近接性</t>
        </is>
      </c>
      <c r="J5" s="3" t="inlineStr">
        <is>
          <t>用地規模</t>
        </is>
      </c>
      <c r="K5" s="3" t="inlineStr">
        <is>
          <t>権利関係の単純さ</t>
        </is>
      </c>
      <c r="L5" s="3" t="inlineStr">
        <is>
          <t>造成・現況</t>
        </is>
      </c>
      <c r="M5" s="3" t="inlineStr">
        <is>
          <t>近隣・規制リスク</t>
        </is>
      </c>
      <c r="N5" s="3" t="inlineStr">
        <is>
          <t>総合点</t>
        </is>
      </c>
      <c r="O5" s="3" t="inlineStr">
        <is>
          <t>所見・留意点</t>
        </is>
      </c>
    </row>
    <row r="6" ht="46" customHeight="1">
      <c r="A6" s="4" t="n">
        <v>1</v>
      </c>
      <c r="B6" s="4" t="inlineStr">
        <is>
          <t>A</t>
        </is>
      </c>
      <c r="C6" s="5" t="inlineStr">
        <is>
          <t>岡町字松本・藤戸</t>
        </is>
      </c>
      <c r="D6" s="5" t="n">
        <v>3</v>
      </c>
      <c r="E6" s="6" t="n">
        <v>6635.8</v>
      </c>
      <c r="F6" s="5" t="inlineStr">
        <is>
          <t>岡町</t>
        </is>
      </c>
      <c r="G6" s="5" t="n">
        <v>13</v>
      </c>
      <c r="H6" s="5">
        <f>ROUND(E6*評価基準!$B$16/評価基準!$B$17,1)</f>
        <v/>
      </c>
      <c r="I6" s="5" t="n">
        <v>4</v>
      </c>
      <c r="J6" s="5" t="n">
        <v>4</v>
      </c>
      <c r="K6" s="5" t="n">
        <v>3</v>
      </c>
      <c r="L6" s="5" t="n">
        <v>4</v>
      </c>
      <c r="M6" s="5" t="n">
        <v>4</v>
      </c>
      <c r="N6" s="7">
        <f>ROUND(SUMPRODUCT(I6:M6,評価基準!$B$8:$B$12),2)</f>
        <v/>
      </c>
      <c r="O6" s="8" t="inlineStr">
        <is>
          <t>中核の2169318は3,133㎡の空き地・単独所有。隣接農地2筆で最大6,636㎡まで拡張可。まずここで接続検討を推奨。</t>
        </is>
      </c>
    </row>
    <row r="7" ht="46" customHeight="1">
      <c r="A7" s="4" t="n">
        <v>2</v>
      </c>
      <c r="B7" s="4" t="inlineStr">
        <is>
          <t>B</t>
        </is>
      </c>
      <c r="C7" s="5" t="inlineStr">
        <is>
          <t>横内字桜峰</t>
        </is>
      </c>
      <c r="D7" s="5" t="n">
        <v>1</v>
      </c>
      <c r="E7" s="6" t="n">
        <v>4477.7</v>
      </c>
      <c r="F7" s="5" t="inlineStr">
        <is>
          <t>新町野</t>
        </is>
      </c>
      <c r="G7" s="5" t="n">
        <v>19</v>
      </c>
      <c r="H7" s="5">
        <f>ROUND(E7*評価基準!$B$16/評価基準!$B$17,1)</f>
        <v/>
      </c>
      <c r="I7" s="5" t="n">
        <v>4</v>
      </c>
      <c r="J7" s="5" t="n">
        <v>3</v>
      </c>
      <c r="K7" s="5" t="n">
        <v>3</v>
      </c>
      <c r="L7" s="5" t="n">
        <v>4</v>
      </c>
      <c r="M7" s="5" t="n">
        <v>5</v>
      </c>
      <c r="N7" s="7">
        <f>ROUND(SUMPRODUCT(I7:M7,評価基準!$B$8:$B$12),2)</f>
        <v/>
      </c>
      <c r="O7" s="8" t="inlineStr">
        <is>
          <t>青森市有地。空き地・民家30m以上離隔・傾斜部以外で700㎡確保可。権利関係は明快だが公有財産の払下/貸付手続きに時間。</t>
        </is>
      </c>
    </row>
    <row r="8" ht="46" customHeight="1">
      <c r="A8" s="4" t="n">
        <v>3</v>
      </c>
      <c r="B8" s="4" t="inlineStr">
        <is>
          <t>C</t>
        </is>
      </c>
      <c r="C8" s="5" t="inlineStr">
        <is>
          <t>大野字前田</t>
        </is>
      </c>
      <c r="D8" s="5" t="n">
        <v>1</v>
      </c>
      <c r="E8" s="6" t="n">
        <v>4004.9</v>
      </c>
      <c r="F8" s="5" t="inlineStr">
        <is>
          <t>新町野</t>
        </is>
      </c>
      <c r="G8" s="5" t="n">
        <v>19</v>
      </c>
      <c r="H8" s="5">
        <f>ROUND(E8*評価基準!$B$16/評価基準!$B$17,1)</f>
        <v/>
      </c>
      <c r="I8" s="5" t="n">
        <v>4</v>
      </c>
      <c r="J8" s="5" t="n">
        <v>3</v>
      </c>
      <c r="K8" s="5" t="n">
        <v>4</v>
      </c>
      <c r="L8" s="5" t="n">
        <v>5</v>
      </c>
      <c r="M8" s="5" t="n">
        <v>2</v>
      </c>
      <c r="N8" s="7">
        <f>ROUND(SUMPRODUCT(I8:M8,評価基準!$B$8:$B$12),2)</f>
        <v/>
      </c>
      <c r="O8" s="8" t="inlineStr">
        <is>
          <t>法人単独所有の空き地4,005㎡で造成容易。ただし第二種住居地域＋公示47,600円/㎡で用地費・近隣対応が重い。</t>
        </is>
      </c>
    </row>
    <row r="9" ht="46" customHeight="1">
      <c r="A9" s="4" t="n">
        <v>4</v>
      </c>
      <c r="B9" s="4" t="inlineStr">
        <is>
          <t>D</t>
        </is>
      </c>
      <c r="C9" s="5" t="inlineStr">
        <is>
          <t>新城字天田内(東)</t>
        </is>
      </c>
      <c r="D9" s="5" t="n">
        <v>2</v>
      </c>
      <c r="E9" s="6" t="n">
        <v>2620.2</v>
      </c>
      <c r="F9" s="5" t="inlineStr">
        <is>
          <t>岡町</t>
        </is>
      </c>
      <c r="G9" s="5" t="n">
        <v>13</v>
      </c>
      <c r="H9" s="5">
        <f>ROUND(E9*評価基準!$B$16/評価基準!$B$17,1)</f>
        <v/>
      </c>
      <c r="I9" s="5" t="n">
        <v>4</v>
      </c>
      <c r="J9" s="5" t="n">
        <v>2</v>
      </c>
      <c r="K9" s="5" t="n">
        <v>5</v>
      </c>
      <c r="L9" s="5" t="n">
        <v>3</v>
      </c>
      <c r="M9" s="5" t="n">
        <v>4</v>
      </c>
      <c r="N9" s="7">
        <f>ROUND(SUMPRODUCT(I9:M9,評価基準!$B$8:$B$12),2)</f>
        <v/>
      </c>
      <c r="O9" s="8" t="inlineStr">
        <is>
          <t>2169315に『売物件の看板あり』＝売却意思が明確で取得確度は最高。ただし2筆で2,620㎡と小規模。</t>
        </is>
      </c>
    </row>
    <row r="10" ht="46" customHeight="1">
      <c r="A10" s="4" t="n">
        <v>5</v>
      </c>
      <c r="B10" s="4" t="inlineStr">
        <is>
          <t>E</t>
        </is>
      </c>
      <c r="C10" s="5" t="inlineStr">
        <is>
          <t>大野字玉島</t>
        </is>
      </c>
      <c r="D10" s="5" t="n">
        <v>1</v>
      </c>
      <c r="E10" s="6" t="n">
        <v>3370.4</v>
      </c>
      <c r="F10" s="5" t="inlineStr">
        <is>
          <t>浦町</t>
        </is>
      </c>
      <c r="G10" s="5" t="n">
        <v>23</v>
      </c>
      <c r="H10" s="5">
        <f>ROUND(E10*評価基準!$B$16/評価基準!$B$17,1)</f>
        <v/>
      </c>
      <c r="I10" s="5" t="n">
        <v>4</v>
      </c>
      <c r="J10" s="5" t="n">
        <v>3</v>
      </c>
      <c r="K10" s="5" t="n">
        <v>4</v>
      </c>
      <c r="L10" s="5" t="n">
        <v>3</v>
      </c>
      <c r="M10" s="5" t="n">
        <v>2</v>
      </c>
      <c r="N10" s="7">
        <f>ROUND(SUMPRODUCT(I10:M10,評価基準!$B$8:$B$12),2)</f>
        <v/>
      </c>
      <c r="O10" s="8" t="inlineStr">
        <is>
          <t>個人単独所有の農地。浦町変電所は空容量23MWで最大。第二種住居地域・地価高が難点。Cと約490m。</t>
        </is>
      </c>
    </row>
    <row r="11" ht="46" customHeight="1">
      <c r="A11" s="4" t="n">
        <v>6</v>
      </c>
      <c r="B11" s="4" t="inlineStr">
        <is>
          <t>F</t>
        </is>
      </c>
      <c r="C11" s="5" t="inlineStr">
        <is>
          <t>幸畑字谷脇</t>
        </is>
      </c>
      <c r="D11" s="5" t="n">
        <v>2</v>
      </c>
      <c r="E11" s="6" t="n">
        <v>4581.3</v>
      </c>
      <c r="F11" s="5" t="inlineStr">
        <is>
          <t>新町野</t>
        </is>
      </c>
      <c r="G11" s="5" t="n">
        <v>19</v>
      </c>
      <c r="H11" s="5">
        <f>ROUND(E11*評価基準!$B$16/評価基準!$B$17,1)</f>
        <v/>
      </c>
      <c r="I11" s="5" t="n">
        <v>4</v>
      </c>
      <c r="J11" s="5" t="n">
        <v>3</v>
      </c>
      <c r="K11" s="5" t="n">
        <v>2</v>
      </c>
      <c r="L11" s="5" t="n">
        <v>3</v>
      </c>
      <c r="M11" s="5" t="n">
        <v>4</v>
      </c>
      <c r="N11" s="7">
        <f>ROUND(SUMPRODUCT(I11:M11,評価基準!$B$8:$B$12),2)</f>
        <v/>
      </c>
      <c r="O11" s="8" t="inlineStr">
        <is>
          <t>2筆50m圏で4,581㎡。2169324は共有2名(2/5・3/5)で1名が仙台在住。農地転用必要。</t>
        </is>
      </c>
    </row>
    <row r="12" ht="46" customHeight="1">
      <c r="A12" s="4" t="n">
        <v>7</v>
      </c>
      <c r="B12" s="4" t="inlineStr">
        <is>
          <t>G</t>
        </is>
      </c>
      <c r="C12" s="5" t="inlineStr">
        <is>
          <t>駒込字蛍沢</t>
        </is>
      </c>
      <c r="D12" s="5" t="n">
        <v>1</v>
      </c>
      <c r="E12" s="6" t="n">
        <v>1738.4</v>
      </c>
      <c r="F12" s="5" t="inlineStr">
        <is>
          <t>新町野</t>
        </is>
      </c>
      <c r="G12" s="5" t="n">
        <v>19</v>
      </c>
      <c r="H12" s="5">
        <f>ROUND(E12*評価基準!$B$16/評価基準!$B$17,1)</f>
        <v/>
      </c>
      <c r="I12" s="5" t="n">
        <v>4</v>
      </c>
      <c r="J12" s="5" t="n">
        <v>1</v>
      </c>
      <c r="K12" s="5" t="n">
        <v>4</v>
      </c>
      <c r="L12" s="5" t="n">
        <v>3</v>
      </c>
      <c r="M12" s="5" t="n">
        <v>4</v>
      </c>
      <c r="N12" s="7">
        <f>ROUND(SUMPRODUCT(I12:M12,評価基準!$B$8:$B$12),2)</f>
        <v/>
      </c>
      <c r="O12" s="8" t="inlineStr">
        <is>
          <t>単独所有・離隔OKだが1,738㎡と小さく単独案件化しにくい。</t>
        </is>
      </c>
    </row>
    <row r="13" ht="46" customHeight="1">
      <c r="A13" s="4" t="n">
        <v>8</v>
      </c>
      <c r="B13" s="4" t="inlineStr">
        <is>
          <t>H</t>
        </is>
      </c>
      <c r="C13" s="5" t="inlineStr">
        <is>
          <t>羽白字野木和</t>
        </is>
      </c>
      <c r="D13" s="5" t="n">
        <v>3</v>
      </c>
      <c r="E13" s="6" t="n">
        <v>5532</v>
      </c>
      <c r="F13" s="5" t="inlineStr">
        <is>
          <t>岡町</t>
        </is>
      </c>
      <c r="G13" s="5" t="n">
        <v>13</v>
      </c>
      <c r="H13" s="5">
        <f>ROUND(E13*評価基準!$B$16/評価基準!$B$17,1)</f>
        <v/>
      </c>
      <c r="I13" s="5" t="n">
        <v>4</v>
      </c>
      <c r="J13" s="5" t="n">
        <v>3</v>
      </c>
      <c r="K13" s="5" t="n">
        <v>3</v>
      </c>
      <c r="L13" s="5" t="n">
        <v>3</v>
      </c>
      <c r="M13" s="5" t="n">
        <v>1</v>
      </c>
      <c r="N13" s="7">
        <f>ROUND(SUMPRODUCT(I13:M13,評価基準!$B$8:$B$12),2)</f>
        <v/>
      </c>
      <c r="O13" s="8" t="inlineStr">
        <is>
          <t>3筆61m圏で5,532㎡だが、30m以内に幼稚園・老人ホーム。住民説明・消防協議の負担が大きく初弾には不向き。</t>
        </is>
      </c>
    </row>
    <row r="14" ht="46" customHeight="1">
      <c r="A14" s="4" t="n">
        <v>9</v>
      </c>
      <c r="B14" s="4" t="inlineStr">
        <is>
          <t>I</t>
        </is>
      </c>
      <c r="C14" s="5" t="inlineStr">
        <is>
          <t>新城字天田内(西)</t>
        </is>
      </c>
      <c r="D14" s="5" t="n">
        <v>3</v>
      </c>
      <c r="E14" s="6" t="n">
        <v>15787.5</v>
      </c>
      <c r="F14" s="5" t="inlineStr">
        <is>
          <t>岡町(3km超)</t>
        </is>
      </c>
      <c r="G14" s="5" t="n">
        <v>13</v>
      </c>
      <c r="H14" s="5">
        <f>ROUND(E14*評価基準!$B$16/評価基準!$B$17,1)</f>
        <v/>
      </c>
      <c r="I14" s="5" t="n">
        <v>2</v>
      </c>
      <c r="J14" s="5" t="n">
        <v>5</v>
      </c>
      <c r="K14" s="5" t="n">
        <v>2</v>
      </c>
      <c r="L14" s="5" t="n">
        <v>2</v>
      </c>
      <c r="M14" s="5" t="n">
        <v>3</v>
      </c>
      <c r="N14" s="7">
        <f>ROUND(SUMPRODUCT(I14:M14,評価基準!$B$8:$B$12),2)</f>
        <v/>
      </c>
      <c r="O14" s="8" t="inlineStr">
        <is>
          <t>★規模狙いの別枠。15,787㎡はリスト最大で大容量化が可能。ただし変電所3km超で工事費負担金が重く、2筆が山林(林地開発)＋市有地、1筆は共有2名。</t>
        </is>
      </c>
    </row>
    <row r="15" ht="46" customHeight="1">
      <c r="A15" s="4" t="n">
        <v>10</v>
      </c>
      <c r="B15" s="4" t="inlineStr">
        <is>
          <t>J</t>
        </is>
      </c>
      <c r="C15" s="5" t="inlineStr">
        <is>
          <t>新城字山田</t>
        </is>
      </c>
      <c r="D15" s="5" t="n">
        <v>1</v>
      </c>
      <c r="E15" s="6" t="n">
        <v>2711.9</v>
      </c>
      <c r="F15" s="5" t="inlineStr">
        <is>
          <t>岡町</t>
        </is>
      </c>
      <c r="G15" s="5" t="n">
        <v>13</v>
      </c>
      <c r="H15" s="5">
        <f>ROUND(E15*評価基準!$B$16/評価基準!$B$17,1)</f>
        <v/>
      </c>
      <c r="I15" s="5" t="n">
        <v>4</v>
      </c>
      <c r="J15" s="5" t="n">
        <v>2</v>
      </c>
      <c r="K15" s="5" t="n">
        <v>1</v>
      </c>
      <c r="L15" s="5" t="n">
        <v>3</v>
      </c>
      <c r="M15" s="5" t="n">
        <v>3</v>
      </c>
      <c r="N15" s="7">
        <f>ROUND(SUMPRODUCT(I15:M15,評価基準!$B$8:$B$12),2)</f>
        <v/>
      </c>
      <c r="O15" s="8" t="inlineStr">
        <is>
          <t>所有者名義が『建設省』＝旧名義の国有地。処分手続きが長期化するため後回し。</t>
        </is>
      </c>
    </row>
    <row r="16" ht="46" customHeight="1">
      <c r="A16" s="4" t="n">
        <v>11</v>
      </c>
      <c r="B16" s="4" t="inlineStr">
        <is>
          <t>K</t>
        </is>
      </c>
      <c r="C16" s="5" t="inlineStr">
        <is>
          <t>雲谷字山吹</t>
        </is>
      </c>
      <c r="D16" s="5" t="n">
        <v>2</v>
      </c>
      <c r="E16" s="6" t="n">
        <v>5715.4</v>
      </c>
      <c r="F16" s="5" t="inlineStr">
        <is>
          <t>新町野</t>
        </is>
      </c>
      <c r="G16" s="5" t="n">
        <v>19</v>
      </c>
      <c r="H16" s="5">
        <f>ROUND(E16*評価基準!$B$16/評価基準!$B$17,1)</f>
        <v/>
      </c>
      <c r="I16" s="5" t="n">
        <v>3</v>
      </c>
      <c r="J16" s="5" t="n">
        <v>3</v>
      </c>
      <c r="K16" s="5" t="n">
        <v>3</v>
      </c>
      <c r="L16" s="5" t="n">
        <v>1</v>
      </c>
      <c r="M16" s="5" t="n">
        <v>2</v>
      </c>
      <c r="N16" s="7">
        <f>ROUND(SUMPRODUCT(I16:M16,評価基準!$B$8:$B$12),2)</f>
        <v/>
      </c>
      <c r="O16" s="8" t="inlineStr">
        <is>
          <t>2筆で5,715㎡だが山林・傾斜。八甲田側で自然公園・保安林の該当可能性を要確認。</t>
        </is>
      </c>
    </row>
    <row r="17">
      <c r="C17" s="9" t="inlineStr">
        <is>
          <t>合計</t>
        </is>
      </c>
      <c r="D17" s="9">
        <f>SUM(D6:D16)</f>
        <v/>
      </c>
      <c r="E17" s="10">
        <f>SUM(E6:E16)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34" customWidth="1" min="4" max="4"/>
    <col width="11" customWidth="1" min="5" max="5"/>
    <col width="20" customWidth="1" min="6" max="6"/>
    <col width="40" customWidth="1" min="7" max="7"/>
    <col width="14" customWidth="1" min="8" max="8"/>
    <col width="22" customWidth="1" min="9" max="9"/>
    <col width="14" customWidth="1" min="10" max="10"/>
    <col hidden="1" width="4" customWidth="1" min="11" max="11"/>
    <col width="13" customWidth="1" min="12" max="12"/>
    <col width="12" customWidth="1" min="13" max="13"/>
    <col width="12" customWidth="1" min="14" max="14"/>
    <col width="12" customWidth="1" min="15" max="15"/>
    <col width="44" customWidth="1" min="16" max="16"/>
  </cols>
  <sheetData>
    <row r="1">
      <c r="A1" s="1" t="inlineStr">
        <is>
          <t>候補地 筆別一覧（管理番号ベース20件）</t>
        </is>
      </c>
    </row>
    <row r="3" ht="34" customHeight="1">
      <c r="A3" s="3" t="inlineStr">
        <is>
          <t>区分</t>
        </is>
      </c>
      <c r="B3" s="3" t="inlineStr">
        <is>
          <t>優先</t>
        </is>
      </c>
      <c r="C3" s="3" t="inlineStr">
        <is>
          <t>管理番号</t>
        </is>
      </c>
      <c r="D3" s="3" t="inlineStr">
        <is>
          <t>地番</t>
        </is>
      </c>
      <c r="E3" s="3" t="inlineStr">
        <is>
          <t>面積(㎡)</t>
        </is>
      </c>
      <c r="F3" s="3" t="inlineStr">
        <is>
          <t>用途地域</t>
        </is>
      </c>
      <c r="G3" s="3" t="inlineStr">
        <is>
          <t>現況(タグ)</t>
        </is>
      </c>
      <c r="H3" s="3" t="inlineStr">
        <is>
          <t>連系先変電所</t>
        </is>
      </c>
      <c r="I3" s="3" t="inlineStr">
        <is>
          <t>所有者</t>
        </is>
      </c>
      <c r="J3" s="3" t="inlineStr">
        <is>
          <t>持分</t>
        </is>
      </c>
      <c r="K3" s="3" t="inlineStr">
        <is>
          <t>所有者住所</t>
        </is>
      </c>
      <c r="L3" s="3" t="inlineStr">
        <is>
          <t>公示価格</t>
        </is>
      </c>
      <c r="M3" s="3" t="inlineStr">
        <is>
          <t>浸水想定</t>
        </is>
      </c>
      <c r="N3" s="3" t="inlineStr">
        <is>
          <t>緯度</t>
        </is>
      </c>
      <c r="O3" s="3" t="inlineStr">
        <is>
          <t>経度</t>
        </is>
      </c>
      <c r="P3" s="3" t="inlineStr">
        <is>
          <t>詳細URL</t>
        </is>
      </c>
    </row>
    <row r="4">
      <c r="A4" s="11" t="inlineStr">
        <is>
          <t>A</t>
        </is>
      </c>
      <c r="B4" s="11" t="n">
        <v>1</v>
      </c>
      <c r="C4" s="11" t="inlineStr">
        <is>
          <t>2169318</t>
        </is>
      </c>
      <c r="D4" s="8" t="inlineStr">
        <is>
          <t>青森県青森市大字岡町字藤戸１１－１</t>
        </is>
      </c>
      <c r="E4" s="12" t="n">
        <v>3133.31</v>
      </c>
      <c r="F4" s="11" t="inlineStr">
        <is>
          <t>不明/データなし</t>
        </is>
      </c>
      <c r="G4" s="8" t="inlineStr">
        <is>
          <t>岡町変電所　空き地</t>
        </is>
      </c>
      <c r="H4" s="11" t="inlineStr">
        <is>
          <t>岡町</t>
        </is>
      </c>
      <c r="I4" s="8" t="inlineStr">
        <is>
          <t>加賀谷陽子</t>
        </is>
      </c>
      <c r="J4" s="11" t="inlineStr">
        <is>
          <t>単独</t>
        </is>
      </c>
      <c r="K4" s="11" t="inlineStr"/>
      <c r="L4" s="11" t="inlineStr">
        <is>
          <t>9,700円/㎡</t>
        </is>
      </c>
      <c r="M4" s="11" t="inlineStr">
        <is>
          <t>該当なし</t>
        </is>
      </c>
      <c r="N4" s="13" t="n">
        <v>40.84400658447424</v>
      </c>
      <c r="O4" s="13" t="n">
        <v>140.6876084383069</v>
      </c>
      <c r="P4" s="11" t="inlineStr">
        <is>
          <t>https://pnt-where.com/ja/list/land?id=2169318</t>
        </is>
      </c>
    </row>
    <row r="5">
      <c r="A5" s="11" t="inlineStr">
        <is>
          <t>A</t>
        </is>
      </c>
      <c r="B5" s="11" t="n">
        <v>1</v>
      </c>
      <c r="C5" s="11" t="inlineStr">
        <is>
          <t>2169316</t>
        </is>
      </c>
      <c r="D5" s="8" t="inlineStr">
        <is>
          <t>青森県青森市大字岡町字松本８０－８</t>
        </is>
      </c>
      <c r="E5" s="12" t="n">
        <v>1673.3</v>
      </c>
      <c r="F5" s="11" t="inlineStr">
        <is>
          <t>不明/データなし</t>
        </is>
      </c>
      <c r="G5" s="8" t="inlineStr">
        <is>
          <t>岡町変電所　農地</t>
        </is>
      </c>
      <c r="H5" s="11" t="inlineStr">
        <is>
          <t>岡町</t>
        </is>
      </c>
      <c r="I5" s="8" t="inlineStr">
        <is>
          <t>柿崎元子 / 松本優子</t>
        </is>
      </c>
      <c r="J5" s="11" t="inlineStr">
        <is>
          <t>2分の1 / 2分の1</t>
        </is>
      </c>
      <c r="K5" s="11" t="inlineStr"/>
      <c r="L5" s="11" t="inlineStr">
        <is>
          <t>9,700円/㎡</t>
        </is>
      </c>
      <c r="M5" s="11" t="inlineStr">
        <is>
          <t>該当なし</t>
        </is>
      </c>
      <c r="N5" s="13" t="n">
        <v>40.84326080458655</v>
      </c>
      <c r="O5" s="13" t="n">
        <v>140.6882037905545</v>
      </c>
      <c r="P5" s="11" t="inlineStr">
        <is>
          <t>https://pnt-where.com/ja/list/land?id=2169316</t>
        </is>
      </c>
    </row>
    <row r="6">
      <c r="A6" s="11" t="inlineStr">
        <is>
          <t>A</t>
        </is>
      </c>
      <c r="B6" s="11" t="n">
        <v>1</v>
      </c>
      <c r="C6" s="11" t="inlineStr">
        <is>
          <t>2169317</t>
        </is>
      </c>
      <c r="D6" s="8" t="inlineStr">
        <is>
          <t>青森県青森市大字岡町字松本７７－７</t>
        </is>
      </c>
      <c r="E6" s="12" t="n">
        <v>1829.2</v>
      </c>
      <c r="F6" s="11" t="inlineStr">
        <is>
          <t>不明/データなし</t>
        </is>
      </c>
      <c r="G6" s="8" t="inlineStr">
        <is>
          <t>岡町変電所　農地　柵あり</t>
        </is>
      </c>
      <c r="H6" s="11" t="inlineStr">
        <is>
          <t>岡町</t>
        </is>
      </c>
      <c r="I6" s="8" t="inlineStr">
        <is>
          <t>柿崎元子 / 松本優子</t>
        </is>
      </c>
      <c r="J6" s="11" t="inlineStr">
        <is>
          <t>2分の1 / 2分の1</t>
        </is>
      </c>
      <c r="K6" s="11" t="inlineStr"/>
      <c r="L6" s="11" t="inlineStr">
        <is>
          <t>9,700円/㎡</t>
        </is>
      </c>
      <c r="M6" s="11" t="inlineStr">
        <is>
          <t>該当なし</t>
        </is>
      </c>
      <c r="N6" s="13" t="n">
        <v>40.84282454565829</v>
      </c>
      <c r="O6" s="13" t="n">
        <v>140.6886720766652</v>
      </c>
      <c r="P6" s="11" t="inlineStr">
        <is>
          <t>https://pnt-where.com/ja/list/land?id=2169317</t>
        </is>
      </c>
    </row>
    <row r="7">
      <c r="A7" s="11" t="inlineStr">
        <is>
          <t>B</t>
        </is>
      </c>
      <c r="B7" s="11" t="n">
        <v>2</v>
      </c>
      <c r="C7" s="11" t="inlineStr">
        <is>
          <t>2169323</t>
        </is>
      </c>
      <c r="D7" s="8" t="inlineStr">
        <is>
          <t>青森県青森市大字横内字桜峰１２２－２７０</t>
        </is>
      </c>
      <c r="E7" s="12" t="n">
        <v>4477.71</v>
      </c>
      <c r="F7" s="11" t="inlineStr">
        <is>
          <t>不明/データなし</t>
        </is>
      </c>
      <c r="G7" s="8" t="inlineStr">
        <is>
          <t>新町野変電所　空き地　民家から30m以上離れて700㎡確保可能　傾斜部以外で700㎡確保可能</t>
        </is>
      </c>
      <c r="H7" s="11" t="inlineStr">
        <is>
          <t>新町野</t>
        </is>
      </c>
      <c r="I7" s="8" t="inlineStr">
        <is>
          <t>青森市</t>
        </is>
      </c>
      <c r="J7" s="11" t="inlineStr">
        <is>
          <t>単独</t>
        </is>
      </c>
      <c r="K7" s="11" t="inlineStr"/>
      <c r="L7" s="11" t="inlineStr">
        <is>
          <t>16,600円/㎡</t>
        </is>
      </c>
      <c r="M7" s="11" t="inlineStr">
        <is>
          <t>該当なし</t>
        </is>
      </c>
      <c r="N7" s="13" t="n">
        <v>40.77088925979157</v>
      </c>
      <c r="O7" s="13" t="n">
        <v>140.7651628354757</v>
      </c>
      <c r="P7" s="11" t="inlineStr">
        <is>
          <t>https://pnt-where.com/ja/list/land?id=2169323</t>
        </is>
      </c>
    </row>
    <row r="8">
      <c r="A8" s="11" t="inlineStr">
        <is>
          <t>C</t>
        </is>
      </c>
      <c r="B8" s="11" t="n">
        <v>3</v>
      </c>
      <c r="C8" s="11" t="inlineStr">
        <is>
          <t>2169320</t>
        </is>
      </c>
      <c r="D8" s="8" t="inlineStr">
        <is>
          <t>青森県青森市大字大野字前田２１－２</t>
        </is>
      </c>
      <c r="E8" s="12" t="n">
        <v>4004.91</v>
      </c>
      <c r="F8" s="11" t="inlineStr">
        <is>
          <t>第二種住居地域</t>
        </is>
      </c>
      <c r="G8" s="8" t="inlineStr">
        <is>
          <t>新町野変電所　空き地　柵あり　民家から30m以上離れて700㎡確保可能</t>
        </is>
      </c>
      <c r="H8" s="11" t="inlineStr">
        <is>
          <t>新町野</t>
        </is>
      </c>
      <c r="I8" s="8" t="inlineStr">
        <is>
          <t>社会福祉法人桐紫会</t>
        </is>
      </c>
      <c r="J8" s="11" t="inlineStr">
        <is>
          <t>単独</t>
        </is>
      </c>
      <c r="K8" s="11" t="inlineStr"/>
      <c r="L8" s="11" t="inlineStr">
        <is>
          <t>47,600円/㎡</t>
        </is>
      </c>
      <c r="M8" s="11" t="inlineStr">
        <is>
          <t>該当なし</t>
        </is>
      </c>
      <c r="N8" s="13" t="n">
        <v>40.79758115499607</v>
      </c>
      <c r="O8" s="13" t="n">
        <v>140.7376802036479</v>
      </c>
      <c r="P8" s="11" t="inlineStr">
        <is>
          <t>https://pnt-where.com/ja/list/land?id=2169320</t>
        </is>
      </c>
    </row>
    <row r="9">
      <c r="A9" s="11" t="inlineStr">
        <is>
          <t>D</t>
        </is>
      </c>
      <c r="B9" s="11" t="n">
        <v>4</v>
      </c>
      <c r="C9" s="11" t="inlineStr">
        <is>
          <t>2169315</t>
        </is>
      </c>
      <c r="D9" s="8" t="inlineStr">
        <is>
          <t>青森県青森市大字新城字天田内１９－１９２</t>
        </is>
      </c>
      <c r="E9" s="12" t="n">
        <v>1619.35</v>
      </c>
      <c r="F9" s="11" t="inlineStr">
        <is>
          <t>不明/データなし</t>
        </is>
      </c>
      <c r="G9" s="8" t="inlineStr">
        <is>
          <t>岡町変電所　農地　売物件の看板あり</t>
        </is>
      </c>
      <c r="H9" s="11" t="inlineStr">
        <is>
          <t>岡町</t>
        </is>
      </c>
      <c r="I9" s="8" t="inlineStr">
        <is>
          <t>市川光忠</t>
        </is>
      </c>
      <c r="J9" s="11" t="inlineStr">
        <is>
          <t>単独</t>
        </is>
      </c>
      <c r="K9" s="11" t="inlineStr"/>
      <c r="L9" s="11" t="inlineStr">
        <is>
          <t>6,600円/㎡</t>
        </is>
      </c>
      <c r="M9" s="11" t="inlineStr">
        <is>
          <t>該当なし</t>
        </is>
      </c>
      <c r="N9" s="13" t="n">
        <v>40.83895797384008</v>
      </c>
      <c r="O9" s="13" t="n">
        <v>140.6518912712103</v>
      </c>
      <c r="P9" s="11" t="inlineStr">
        <is>
          <t>https://pnt-where.com/ja/list/land?id=2169315</t>
        </is>
      </c>
    </row>
    <row r="10">
      <c r="A10" s="11" t="inlineStr">
        <is>
          <t>D</t>
        </is>
      </c>
      <c r="B10" s="11" t="n">
        <v>4</v>
      </c>
      <c r="C10" s="11" t="inlineStr">
        <is>
          <t>2169311</t>
        </is>
      </c>
      <c r="D10" s="8" t="inlineStr">
        <is>
          <t>青森県青森市大字新城字天田内１９－１２２</t>
        </is>
      </c>
      <c r="E10" s="12" t="n">
        <v>1000.87</v>
      </c>
      <c r="F10" s="11" t="inlineStr">
        <is>
          <t>不明/データなし</t>
        </is>
      </c>
      <c r="G10" s="8" t="inlineStr">
        <is>
          <t>岡町変電所　農地</t>
        </is>
      </c>
      <c r="H10" s="11" t="inlineStr">
        <is>
          <t>岡町</t>
        </is>
      </c>
      <c r="I10" s="8" t="inlineStr">
        <is>
          <t>竹内まめ</t>
        </is>
      </c>
      <c r="J10" s="11" t="inlineStr">
        <is>
          <t>単独</t>
        </is>
      </c>
      <c r="K10" s="11" t="inlineStr"/>
      <c r="L10" s="11" t="inlineStr">
        <is>
          <t>データなし</t>
        </is>
      </c>
      <c r="M10" s="11" t="inlineStr">
        <is>
          <t>該当なし</t>
        </is>
      </c>
      <c r="N10" s="13" t="n">
        <v>40.83901441</v>
      </c>
      <c r="O10" s="13" t="n">
        <v>140.65274448</v>
      </c>
      <c r="P10" s="11" t="inlineStr">
        <is>
          <t>https://pnt-where.com/ja/list/land?id=2169311</t>
        </is>
      </c>
    </row>
    <row r="11">
      <c r="A11" s="11" t="inlineStr">
        <is>
          <t>E</t>
        </is>
      </c>
      <c r="B11" s="11" t="n">
        <v>5</v>
      </c>
      <c r="C11" s="11" t="inlineStr">
        <is>
          <t>2169307</t>
        </is>
      </c>
      <c r="D11" s="8" t="inlineStr">
        <is>
          <t>青森県青森市大字大野字玉島２８－１</t>
        </is>
      </c>
      <c r="E11" s="12" t="n">
        <v>3370.41</v>
      </c>
      <c r="F11" s="11" t="inlineStr">
        <is>
          <t>第二種住居地域</t>
        </is>
      </c>
      <c r="G11" s="8" t="inlineStr">
        <is>
          <t>浦町変電所　農地　柵あり</t>
        </is>
      </c>
      <c r="H11" s="11" t="inlineStr">
        <is>
          <t>浦町</t>
        </is>
      </c>
      <c r="I11" s="8" t="inlineStr">
        <is>
          <t>櫻田梅子</t>
        </is>
      </c>
      <c r="J11" s="11" t="inlineStr">
        <is>
          <t>単独</t>
        </is>
      </c>
      <c r="K11" s="11" t="inlineStr"/>
      <c r="L11" s="11" t="inlineStr">
        <is>
          <t>47,600円/㎡</t>
        </is>
      </c>
      <c r="M11" s="11" t="inlineStr">
        <is>
          <t>該当なし</t>
        </is>
      </c>
      <c r="N11" s="13" t="n">
        <v>40.79787276948417</v>
      </c>
      <c r="O11" s="13" t="n">
        <v>140.7319099684847</v>
      </c>
      <c r="P11" s="11" t="inlineStr">
        <is>
          <t>https://pnt-where.com/ja/list/land?id=2169307</t>
        </is>
      </c>
    </row>
    <row r="12">
      <c r="A12" s="11" t="inlineStr">
        <is>
          <t>F</t>
        </is>
      </c>
      <c r="B12" s="11" t="n">
        <v>6</v>
      </c>
      <c r="C12" s="11" t="inlineStr">
        <is>
          <t>2169324</t>
        </is>
      </c>
      <c r="D12" s="8" t="inlineStr">
        <is>
          <t>青森県青森市大字幸畑字谷脇１７２－１</t>
        </is>
      </c>
      <c r="E12" s="12" t="n">
        <v>3543.23</v>
      </c>
      <c r="F12" s="11" t="inlineStr">
        <is>
          <t>不明/データなし</t>
        </is>
      </c>
      <c r="G12" s="8" t="inlineStr">
        <is>
          <t>新町野変電所　農地　柵あり　民家から30m以上離れて700㎡確保可能</t>
        </is>
      </c>
      <c r="H12" s="11" t="inlineStr">
        <is>
          <t>新町野</t>
        </is>
      </c>
      <c r="I12" s="8" t="inlineStr">
        <is>
          <t>秋元一子 / 小泉幸政</t>
        </is>
      </c>
      <c r="J12" s="11" t="inlineStr">
        <is>
          <t>5分の2 / 5分の3</t>
        </is>
      </c>
      <c r="K12" s="11" t="inlineStr"/>
      <c r="L12" s="11" t="inlineStr">
        <is>
          <t>12,600円/㎡</t>
        </is>
      </c>
      <c r="M12" s="11" t="inlineStr">
        <is>
          <t>該当なし</t>
        </is>
      </c>
      <c r="N12" s="13" t="n">
        <v>40.79352506</v>
      </c>
      <c r="O12" s="13" t="n">
        <v>140.79135322</v>
      </c>
      <c r="P12" s="11" t="inlineStr">
        <is>
          <t>https://pnt-where.com/ja/list/land?id=2169324</t>
        </is>
      </c>
    </row>
    <row r="13">
      <c r="A13" s="11" t="inlineStr">
        <is>
          <t>F</t>
        </is>
      </c>
      <c r="B13" s="11" t="n">
        <v>6</v>
      </c>
      <c r="C13" s="11" t="inlineStr">
        <is>
          <t>2169325</t>
        </is>
      </c>
      <c r="D13" s="8" t="inlineStr">
        <is>
          <t>青森県青森市大字幸畑字谷脇１９９－１</t>
        </is>
      </c>
      <c r="E13" s="12" t="n">
        <v>1038.08</v>
      </c>
      <c r="F13" s="11" t="inlineStr">
        <is>
          <t>不明/データなし</t>
        </is>
      </c>
      <c r="G13" s="8" t="inlineStr">
        <is>
          <t>新町野変電所　農地　柵あり</t>
        </is>
      </c>
      <c r="H13" s="11" t="inlineStr">
        <is>
          <t>新町野</t>
        </is>
      </c>
      <c r="I13" s="8" t="inlineStr">
        <is>
          <t>佐々木康晴</t>
        </is>
      </c>
      <c r="J13" s="11" t="inlineStr">
        <is>
          <t>単独</t>
        </is>
      </c>
      <c r="K13" s="11" t="inlineStr"/>
      <c r="L13" s="11" t="inlineStr">
        <is>
          <t>12,600円/㎡</t>
        </is>
      </c>
      <c r="M13" s="11" t="inlineStr">
        <is>
          <t>該当なし</t>
        </is>
      </c>
      <c r="N13" s="13" t="n">
        <v>40.79371618</v>
      </c>
      <c r="O13" s="13" t="n">
        <v>140.79189568</v>
      </c>
      <c r="P13" s="11" t="inlineStr">
        <is>
          <t>https://pnt-where.com/ja/list/land?id=2169325</t>
        </is>
      </c>
    </row>
    <row r="14">
      <c r="A14" s="11" t="inlineStr">
        <is>
          <t>G</t>
        </is>
      </c>
      <c r="B14" s="11" t="n">
        <v>7</v>
      </c>
      <c r="C14" s="11" t="inlineStr">
        <is>
          <t>2169326</t>
        </is>
      </c>
      <c r="D14" s="8" t="inlineStr">
        <is>
          <t>青森県青森市大字駒込字蛍沢２６３－２</t>
        </is>
      </c>
      <c r="E14" s="12" t="n">
        <v>1738.43</v>
      </c>
      <c r="F14" s="11" t="inlineStr">
        <is>
          <t>不明/データなし</t>
        </is>
      </c>
      <c r="G14" s="8" t="inlineStr">
        <is>
          <t>新町野変電所　農地　民家から30m以上離れて700㎡確保可能</t>
        </is>
      </c>
      <c r="H14" s="11" t="inlineStr">
        <is>
          <t>新町野</t>
        </is>
      </c>
      <c r="I14" s="8" t="inlineStr">
        <is>
          <t>木村きぬ気</t>
        </is>
      </c>
      <c r="J14" s="11" t="inlineStr">
        <is>
          <t>単独</t>
        </is>
      </c>
      <c r="K14" s="11" t="inlineStr"/>
      <c r="L14" s="11" t="inlineStr">
        <is>
          <t>12,600円/㎡</t>
        </is>
      </c>
      <c r="M14" s="11" t="inlineStr">
        <is>
          <t>該当なし</t>
        </is>
      </c>
      <c r="N14" s="13" t="n">
        <v>40.79935339681128</v>
      </c>
      <c r="O14" s="13" t="n">
        <v>140.7953171591352</v>
      </c>
      <c r="P14" s="11" t="inlineStr">
        <is>
          <t>https://pnt-where.com/ja/list/land?id=2169326</t>
        </is>
      </c>
    </row>
    <row r="15">
      <c r="A15" s="11" t="inlineStr">
        <is>
          <t>H</t>
        </is>
      </c>
      <c r="B15" s="11" t="n">
        <v>8</v>
      </c>
      <c r="C15" s="11" t="inlineStr">
        <is>
          <t>2169308</t>
        </is>
      </c>
      <c r="D15" s="8" t="inlineStr">
        <is>
          <t>青森県青森市大字羽白字野木和４２－１</t>
        </is>
      </c>
      <c r="E15" s="12" t="n">
        <v>886.9299999999999</v>
      </c>
      <c r="F15" s="11" t="inlineStr">
        <is>
          <t>不明/データなし</t>
        </is>
      </c>
      <c r="G15" s="8" t="inlineStr">
        <is>
          <t>岡町変電所　農地　30m以内に老人ホームあり</t>
        </is>
      </c>
      <c r="H15" s="11" t="inlineStr">
        <is>
          <t>岡町</t>
        </is>
      </c>
      <c r="I15" s="8" t="inlineStr">
        <is>
          <t>成田精一</t>
        </is>
      </c>
      <c r="J15" s="11" t="inlineStr">
        <is>
          <t>単独</t>
        </is>
      </c>
      <c r="K15" s="11" t="inlineStr"/>
      <c r="L15" s="11" t="inlineStr">
        <is>
          <t>9,700円/㎡</t>
        </is>
      </c>
      <c r="M15" s="11" t="inlineStr">
        <is>
          <t>該当なし</t>
        </is>
      </c>
      <c r="N15" s="13" t="n">
        <v>40.84645511602494</v>
      </c>
      <c r="O15" s="13" t="n">
        <v>140.6789608739501</v>
      </c>
      <c r="P15" s="11" t="inlineStr">
        <is>
          <t>https://pnt-where.com/ja/list/land?id=2169308</t>
        </is>
      </c>
    </row>
    <row r="16">
      <c r="A16" s="11" t="inlineStr">
        <is>
          <t>H</t>
        </is>
      </c>
      <c r="B16" s="11" t="n">
        <v>8</v>
      </c>
      <c r="C16" s="11" t="inlineStr">
        <is>
          <t>2169309</t>
        </is>
      </c>
      <c r="D16" s="8" t="inlineStr">
        <is>
          <t>青森県青森市大字羽白字野木和４０－１</t>
        </is>
      </c>
      <c r="E16" s="12" t="n">
        <v>2381.84</v>
      </c>
      <c r="F16" s="11" t="inlineStr">
        <is>
          <t>不明/データなし</t>
        </is>
      </c>
      <c r="G16" s="8" t="inlineStr">
        <is>
          <t>岡町変電所　農地　30m以内に幼稚園・老人ホームあり</t>
        </is>
      </c>
      <c r="H16" s="11" t="inlineStr">
        <is>
          <t>岡町</t>
        </is>
      </c>
      <c r="I16" s="8" t="inlineStr">
        <is>
          <t>田中ケイ子</t>
        </is>
      </c>
      <c r="J16" s="11" t="inlineStr">
        <is>
          <t>単独</t>
        </is>
      </c>
      <c r="K16" s="11" t="inlineStr"/>
      <c r="L16" s="11" t="inlineStr">
        <is>
          <t>9,700円/㎡</t>
        </is>
      </c>
      <c r="M16" s="11" t="inlineStr">
        <is>
          <t>該当なし</t>
        </is>
      </c>
      <c r="N16" s="13" t="n">
        <v>40.84642367569193</v>
      </c>
      <c r="O16" s="13" t="n">
        <v>140.6794013444735</v>
      </c>
      <c r="P16" s="11" t="inlineStr">
        <is>
          <t>https://pnt-where.com/ja/list/land?id=2169309</t>
        </is>
      </c>
    </row>
    <row r="17">
      <c r="A17" s="11" t="inlineStr">
        <is>
          <t>H</t>
        </is>
      </c>
      <c r="B17" s="11" t="n">
        <v>8</v>
      </c>
      <c r="C17" s="11" t="inlineStr">
        <is>
          <t>2169310</t>
        </is>
      </c>
      <c r="D17" s="8" t="inlineStr">
        <is>
          <t>青森県青森市大字羽白字野木和３９－１</t>
        </is>
      </c>
      <c r="E17" s="12" t="n">
        <v>2263.19</v>
      </c>
      <c r="F17" s="11" t="inlineStr">
        <is>
          <t>不明/データなし</t>
        </is>
      </c>
      <c r="G17" s="8" t="inlineStr">
        <is>
          <t>岡町変電所　農地　30m以内に幼稚園・老人ホームあり</t>
        </is>
      </c>
      <c r="H17" s="11" t="inlineStr">
        <is>
          <t>岡町</t>
        </is>
      </c>
      <c r="I17" s="8" t="inlineStr">
        <is>
          <t>田中ケイ子</t>
        </is>
      </c>
      <c r="J17" s="11" t="inlineStr">
        <is>
          <t>単独</t>
        </is>
      </c>
      <c r="K17" s="11" t="inlineStr"/>
      <c r="L17" s="11" t="inlineStr">
        <is>
          <t>9,700円/㎡</t>
        </is>
      </c>
      <c r="M17" s="11" t="inlineStr">
        <is>
          <t>該当なし</t>
        </is>
      </c>
      <c r="N17" s="13" t="n">
        <v>40.84650888242945</v>
      </c>
      <c r="O17" s="13" t="n">
        <v>140.6796833366683</v>
      </c>
      <c r="P17" s="11" t="inlineStr">
        <is>
          <t>https://pnt-where.com/ja/list/land?id=2169310</t>
        </is>
      </c>
    </row>
    <row r="18">
      <c r="A18" s="11" t="inlineStr">
        <is>
          <t>I</t>
        </is>
      </c>
      <c r="B18" s="11" t="n">
        <v>9</v>
      </c>
      <c r="C18" s="11" t="inlineStr">
        <is>
          <t>2169312</t>
        </is>
      </c>
      <c r="D18" s="8" t="inlineStr">
        <is>
          <t>青森県青森市大字新城字天田内１８－３１０</t>
        </is>
      </c>
      <c r="E18" s="12" t="n">
        <v>5484.09</v>
      </c>
      <c r="F18" s="11" t="inlineStr">
        <is>
          <t>不明/データなし</t>
        </is>
      </c>
      <c r="G18" s="8" t="inlineStr">
        <is>
          <t>岡町変電所から3km以上　空き地　傾斜部分以外で700㎡以上確保可能</t>
        </is>
      </c>
      <c r="H18" s="11" t="inlineStr">
        <is>
          <t>岡町(3km超)</t>
        </is>
      </c>
      <c r="I18" s="8" t="inlineStr">
        <is>
          <t>竹内春藏 / 竹内百合子</t>
        </is>
      </c>
      <c r="J18" s="11" t="inlineStr">
        <is>
          <t>2分の1 / 2分の1</t>
        </is>
      </c>
      <c r="K18" s="11" t="inlineStr"/>
      <c r="L18" s="11" t="inlineStr">
        <is>
          <t>データなし</t>
        </is>
      </c>
      <c r="M18" s="11" t="inlineStr">
        <is>
          <t>該当なし</t>
        </is>
      </c>
      <c r="N18" s="13" t="n">
        <v>40.83595844185839</v>
      </c>
      <c r="O18" s="13" t="n">
        <v>140.64757048918</v>
      </c>
      <c r="P18" s="11" t="inlineStr">
        <is>
          <t>https://pnt-where.com/ja/list/land?id=2169312</t>
        </is>
      </c>
    </row>
    <row r="19">
      <c r="A19" s="11" t="inlineStr">
        <is>
          <t>I</t>
        </is>
      </c>
      <c r="B19" s="11" t="n">
        <v>9</v>
      </c>
      <c r="C19" s="11" t="inlineStr">
        <is>
          <t>2169313</t>
        </is>
      </c>
      <c r="D19" s="8" t="inlineStr">
        <is>
          <t>青森県青森市大字新城字天田内１８－２５６</t>
        </is>
      </c>
      <c r="E19" s="12" t="n">
        <v>5314.89</v>
      </c>
      <c r="F19" s="11" t="inlineStr">
        <is>
          <t>不明/データなし</t>
        </is>
      </c>
      <c r="G19" s="8" t="inlineStr">
        <is>
          <t>岡町変電所から3km以上　山林</t>
        </is>
      </c>
      <c r="H19" s="11" t="inlineStr">
        <is>
          <t>岡町(3km超)</t>
        </is>
      </c>
      <c r="I19" s="8" t="inlineStr">
        <is>
          <t>青森市</t>
        </is>
      </c>
      <c r="J19" s="11" t="inlineStr">
        <is>
          <t>単独</t>
        </is>
      </c>
      <c r="K19" s="11" t="inlineStr"/>
      <c r="L19" s="11" t="inlineStr">
        <is>
          <t>データなし</t>
        </is>
      </c>
      <c r="M19" s="11" t="inlineStr">
        <is>
          <t>該当なし</t>
        </is>
      </c>
      <c r="N19" s="13" t="n">
        <v>40.83657788496234</v>
      </c>
      <c r="O19" s="13" t="n">
        <v>140.6471648689627</v>
      </c>
      <c r="P19" s="11" t="inlineStr">
        <is>
          <t>https://pnt-where.com/ja/list/land?id=2169313</t>
        </is>
      </c>
    </row>
    <row r="20">
      <c r="A20" s="11" t="inlineStr">
        <is>
          <t>I</t>
        </is>
      </c>
      <c r="B20" s="11" t="n">
        <v>9</v>
      </c>
      <c r="C20" s="11" t="inlineStr">
        <is>
          <t>2169314</t>
        </is>
      </c>
      <c r="D20" s="8" t="inlineStr">
        <is>
          <t>青森県青森市大字新城字天田内１８－４２３</t>
        </is>
      </c>
      <c r="E20" s="12" t="n">
        <v>4988.5</v>
      </c>
      <c r="F20" s="11" t="inlineStr">
        <is>
          <t>不明/データなし</t>
        </is>
      </c>
      <c r="G20" s="8" t="inlineStr">
        <is>
          <t>岡町変電所から3km以上　山林</t>
        </is>
      </c>
      <c r="H20" s="11" t="inlineStr">
        <is>
          <t>岡町(3km超)</t>
        </is>
      </c>
      <c r="I20" s="8" t="inlineStr">
        <is>
          <t>青森市</t>
        </is>
      </c>
      <c r="J20" s="11" t="inlineStr">
        <is>
          <t>単独</t>
        </is>
      </c>
      <c r="K20" s="11" t="inlineStr"/>
      <c r="L20" s="11" t="inlineStr">
        <is>
          <t>データなし</t>
        </is>
      </c>
      <c r="M20" s="11" t="inlineStr">
        <is>
          <t>該当なし</t>
        </is>
      </c>
      <c r="N20" s="13" t="n">
        <v>40.83667300132501</v>
      </c>
      <c r="O20" s="13" t="n">
        <v>140.6465677905788</v>
      </c>
      <c r="P20" s="11" t="inlineStr">
        <is>
          <t>https://pnt-where.com/ja/list/land?id=2169314</t>
        </is>
      </c>
    </row>
    <row r="21">
      <c r="A21" s="11" t="inlineStr">
        <is>
          <t>J</t>
        </is>
      </c>
      <c r="B21" s="11" t="n">
        <v>10</v>
      </c>
      <c r="C21" s="11" t="inlineStr">
        <is>
          <t>2169319</t>
        </is>
      </c>
      <c r="D21" s="8" t="inlineStr">
        <is>
          <t>青森県青森市大字新城字山田６７３－４４</t>
        </is>
      </c>
      <c r="E21" s="12" t="n">
        <v>2711.95</v>
      </c>
      <c r="F21" s="11" t="inlineStr">
        <is>
          <t>不明/データなし</t>
        </is>
      </c>
      <c r="G21" s="8" t="inlineStr">
        <is>
          <t>岡町変電所　農地</t>
        </is>
      </c>
      <c r="H21" s="11" t="inlineStr">
        <is>
          <t>岡町</t>
        </is>
      </c>
      <c r="I21" s="8" t="inlineStr">
        <is>
          <t>建設省</t>
        </is>
      </c>
      <c r="J21" s="11" t="inlineStr">
        <is>
          <t>単独</t>
        </is>
      </c>
      <c r="K21" s="11" t="inlineStr"/>
      <c r="L21" s="11" t="inlineStr">
        <is>
          <t>6,600円/㎡</t>
        </is>
      </c>
      <c r="M21" s="11" t="inlineStr">
        <is>
          <t>該当なし</t>
        </is>
      </c>
      <c r="N21" s="13" t="n">
        <v>40.82601087319159</v>
      </c>
      <c r="O21" s="13" t="n">
        <v>140.6546083253527</v>
      </c>
      <c r="P21" s="11" t="inlineStr">
        <is>
          <t>https://pnt-where.com/ja/list/land?id=2169319</t>
        </is>
      </c>
    </row>
    <row r="22">
      <c r="A22" s="11" t="inlineStr">
        <is>
          <t>K</t>
        </is>
      </c>
      <c r="B22" s="11" t="n">
        <v>11</v>
      </c>
      <c r="C22" s="11" t="inlineStr">
        <is>
          <t>2169321</t>
        </is>
      </c>
      <c r="D22" s="8" t="inlineStr">
        <is>
          <t>青森県青森市大字雲谷字山吹８７－１</t>
        </is>
      </c>
      <c r="E22" s="12" t="n">
        <v>2548.29</v>
      </c>
      <c r="F22" s="11" t="inlineStr">
        <is>
          <t>不明/データなし</t>
        </is>
      </c>
      <c r="G22" s="8" t="inlineStr">
        <is>
          <t>新町野変電所　山林　民家から30m以上離れて700㎡確保可能</t>
        </is>
      </c>
      <c r="H22" s="11" t="inlineStr">
        <is>
          <t>新町野</t>
        </is>
      </c>
      <c r="I22" s="8" t="inlineStr">
        <is>
          <t>医療法人養仁会</t>
        </is>
      </c>
      <c r="J22" s="11" t="inlineStr">
        <is>
          <t>単独</t>
        </is>
      </c>
      <c r="K22" s="11" t="inlineStr"/>
      <c r="L22" s="11" t="inlineStr">
        <is>
          <t>データなし</t>
        </is>
      </c>
      <c r="M22" s="11" t="inlineStr">
        <is>
          <t>該当なし</t>
        </is>
      </c>
      <c r="N22" s="13" t="n">
        <v>40.74987003877871</v>
      </c>
      <c r="O22" s="13" t="n">
        <v>140.7791838142753</v>
      </c>
      <c r="P22" s="11" t="inlineStr">
        <is>
          <t>https://pnt-where.com/ja/list/land?id=2169321</t>
        </is>
      </c>
    </row>
    <row r="23">
      <c r="A23" s="11" t="inlineStr">
        <is>
          <t>K</t>
        </is>
      </c>
      <c r="B23" s="11" t="n">
        <v>11</v>
      </c>
      <c r="C23" s="11" t="inlineStr">
        <is>
          <t>2169322</t>
        </is>
      </c>
      <c r="D23" s="8" t="inlineStr">
        <is>
          <t>青森県青森市大字雲谷字山吹１００－１</t>
        </is>
      </c>
      <c r="E23" s="12" t="n">
        <v>3167.14</v>
      </c>
      <c r="F23" s="11" t="inlineStr">
        <is>
          <t>不明/データなし</t>
        </is>
      </c>
      <c r="G23" s="8" t="inlineStr">
        <is>
          <t>新町野変電所　山林</t>
        </is>
      </c>
      <c r="H23" s="11" t="inlineStr">
        <is>
          <t>新町野</t>
        </is>
      </c>
      <c r="I23" s="8" t="inlineStr">
        <is>
          <t>鹿内啓太</t>
        </is>
      </c>
      <c r="J23" s="11" t="inlineStr">
        <is>
          <t>単独</t>
        </is>
      </c>
      <c r="K23" s="11" t="inlineStr"/>
      <c r="L23" s="11" t="inlineStr">
        <is>
          <t>データなし</t>
        </is>
      </c>
      <c r="M23" s="11" t="inlineStr">
        <is>
          <t>該当なし</t>
        </is>
      </c>
      <c r="N23" s="13" t="n">
        <v>40.75015957815572</v>
      </c>
      <c r="O23" s="13" t="n">
        <v>140.7778726391907</v>
      </c>
      <c r="P23" s="11" t="inlineStr">
        <is>
          <t>https://pnt-where.com/ja/list/land?id=2169322</t>
        </is>
      </c>
    </row>
    <row r="24">
      <c r="D24" s="9" t="inlineStr">
        <is>
          <t>合計</t>
        </is>
      </c>
      <c r="E24" s="14">
        <f>SUM(E4:E23)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3" customWidth="1" min="5" max="5"/>
    <col width="17" customWidth="1" min="6" max="6"/>
    <col width="10" customWidth="1" min="7" max="7"/>
    <col width="52" customWidth="1" min="8" max="8"/>
    <col width="42" customWidth="1" min="9" max="9"/>
  </cols>
  <sheetData>
    <row r="1">
      <c r="A1" s="1" t="inlineStr">
        <is>
          <t>連系先候補 変電所の系統空き容量</t>
        </is>
      </c>
    </row>
    <row r="2">
      <c r="A2" s="15" t="inlineStr">
        <is>
          <t>※東北電力ネットワーク公表情報（2026/7/3時点）を第三者サイト『蓄電所ネット』が転載したもの（2026/8/16取得）。正式には東北電力ネットワークの『系統の予想潮流等に関する情報』および事前相談で必ず確認すること。</t>
        </is>
      </c>
    </row>
    <row r="3"/>
    <row r="5" ht="32" customHeight="1">
      <c r="A5" s="3" t="inlineStr">
        <is>
          <t>変電所</t>
        </is>
      </c>
      <c r="B5" s="3" t="inlineStr">
        <is>
          <t>電圧(一次/二次)</t>
        </is>
      </c>
      <c r="C5" s="3" t="inlineStr">
        <is>
          <t>設備容量(MW)</t>
        </is>
      </c>
      <c r="D5" s="3" t="inlineStr">
        <is>
          <t>運用容量(MW)</t>
        </is>
      </c>
      <c r="E5" s="3" t="inlineStr">
        <is>
          <t>空き容量(MW)</t>
        </is>
      </c>
      <c r="F5" s="3" t="inlineStr">
        <is>
          <t>ノンファーム型接続</t>
        </is>
      </c>
      <c r="G5" s="3" t="inlineStr">
        <is>
          <t>N-1電制</t>
        </is>
      </c>
      <c r="H5" s="3" t="inlineStr">
        <is>
          <t>留意点</t>
        </is>
      </c>
      <c r="I5" s="3" t="inlineStr">
        <is>
          <t>参照URL</t>
        </is>
      </c>
    </row>
    <row r="6" ht="32" customHeight="1">
      <c r="A6" s="5" t="inlineStr">
        <is>
          <t>浦町</t>
        </is>
      </c>
      <c r="B6" s="5" t="inlineStr">
        <is>
          <t>66kV / 6.6kV</t>
        </is>
      </c>
      <c r="C6" s="5" t="inlineStr">
        <is>
          <t>非公表</t>
        </is>
      </c>
      <c r="D6" s="5" t="inlineStr">
        <is>
          <t>非公表</t>
        </is>
      </c>
      <c r="E6" s="4" t="n">
        <v>23</v>
      </c>
      <c r="F6" s="5" t="inlineStr">
        <is>
          <t>対象外</t>
        </is>
      </c>
      <c r="G6" s="5" t="inlineStr">
        <is>
          <t>不可</t>
        </is>
      </c>
      <c r="H6" s="16" t="inlineStr">
        <is>
          <t>平常時出力制御の可能性あり。上位系統（フェンス№1・№2等）が制御対象。制約要因は熱容量。</t>
        </is>
      </c>
      <c r="I6" s="5" t="inlineStr">
        <is>
          <t>https://bess-net.jp/grid/thk-aomori-1b0001</t>
        </is>
      </c>
    </row>
    <row r="7" ht="32" customHeight="1">
      <c r="A7" s="5" t="inlineStr">
        <is>
          <t>新町野</t>
        </is>
      </c>
      <c r="B7" s="5" t="inlineStr">
        <is>
          <t>66kV / 6.6kV</t>
        </is>
      </c>
      <c r="C7" s="5" t="inlineStr">
        <is>
          <t>非公表</t>
        </is>
      </c>
      <c r="D7" s="5" t="inlineStr">
        <is>
          <t>非公表</t>
        </is>
      </c>
      <c r="E7" s="4" t="n">
        <v>19</v>
      </c>
      <c r="F7" s="5" t="inlineStr">
        <is>
          <t>対象外</t>
        </is>
      </c>
      <c r="G7" s="5" t="inlineStr">
        <is>
          <t>不可</t>
        </is>
      </c>
      <c r="H7" s="16" t="inlineStr">
        <is>
          <t>平常時出力制御の可能性あり。上位系統設備による出力制御対象が複数指定。</t>
        </is>
      </c>
      <c r="I7" s="5" t="inlineStr">
        <is>
          <t>https://bess-net.jp/grid/thk-aomori-1112</t>
        </is>
      </c>
    </row>
    <row r="8" ht="32" customHeight="1">
      <c r="A8" s="5" t="inlineStr">
        <is>
          <t>岡町</t>
        </is>
      </c>
      <c r="B8" s="5" t="inlineStr">
        <is>
          <t>66kV / 6.6kV</t>
        </is>
      </c>
      <c r="C8" s="5" t="n">
        <v>52</v>
      </c>
      <c r="D8" s="5" t="n">
        <v>52</v>
      </c>
      <c r="E8" s="4" t="n">
        <v>13</v>
      </c>
      <c r="F8" s="5" t="inlineStr">
        <is>
          <t>対象外</t>
        </is>
      </c>
      <c r="G8" s="5" t="inlineStr">
        <is>
          <t>不可</t>
        </is>
      </c>
      <c r="H8" s="16" t="inlineStr">
        <is>
          <t>平常時出力制御の可能性あり。制約要因は熱容量。</t>
        </is>
      </c>
      <c r="I8" s="5" t="inlineStr">
        <is>
          <t>https://bess-net.jp/grid/thk-aomori-1107</t>
        </is>
      </c>
    </row>
    <row r="10">
      <c r="A10" s="17" t="inlineStr">
        <is>
          <t>参考：東北電力ネットワーク 系統の予想潮流等に関する情報</t>
        </is>
      </c>
      <c r="B10" s="18" t="inlineStr">
        <is>
          <t>https://nw.tohoku-epco.co.jp/consignment/system/announcement/</t>
        </is>
      </c>
    </row>
    <row r="11">
      <c r="A11" s="17" t="inlineStr">
        <is>
          <t>参考：系統図の閲覧・事前相談・接続検討（有料）</t>
        </is>
      </c>
      <c r="B11" s="18" t="inlineStr">
        <is>
          <t>https://nw.tohoku-epco.co.jp/consignment/procedures/</t>
        </is>
      </c>
    </row>
  </sheetData>
  <mergeCells count="1">
    <mergeCell ref="A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62" customWidth="1" min="3" max="3"/>
  </cols>
  <sheetData>
    <row r="1">
      <c r="A1" s="1" t="inlineStr">
        <is>
          <t>評価基準・前提条件（黄色セルは変更可）</t>
        </is>
      </c>
    </row>
    <row r="3">
      <c r="A3" s="19" t="inlineStr">
        <is>
          <t>■ 評価ウェイト（合計が1.00になるように調整してください）</t>
        </is>
      </c>
    </row>
    <row r="5">
      <c r="A5" s="20" t="inlineStr">
        <is>
          <t>評価軸</t>
        </is>
      </c>
      <c r="B5" s="20" t="inlineStr">
        <is>
          <t>ウェイト</t>
        </is>
      </c>
      <c r="C5" s="20" t="inlineStr">
        <is>
          <t>考え方</t>
        </is>
      </c>
    </row>
    <row r="8">
      <c r="A8" s="21" t="inlineStr">
        <is>
          <t>系統近接性</t>
        </is>
      </c>
      <c r="B8" s="22" t="n">
        <v>0.25</v>
      </c>
      <c r="C8" s="23" t="inlineStr">
        <is>
          <t>連系先変電所までの距離（タグの3km圏内/圏外）と当該変電所の空き容量</t>
        </is>
      </c>
    </row>
    <row r="9">
      <c r="A9" s="21" t="inlineStr">
        <is>
          <t>用地規模</t>
        </is>
      </c>
      <c r="B9" s="22" t="n">
        <v>0.25</v>
      </c>
      <c r="C9" s="23" t="inlineStr">
        <is>
          <t>クラスタ合計面積。まとまった面積ほど大容量化・増設余地あり</t>
        </is>
      </c>
    </row>
    <row r="10">
      <c r="A10" s="21" t="inlineStr">
        <is>
          <t>権利関係の単純さ</t>
        </is>
      </c>
      <c r="B10" s="22" t="n">
        <v>0.2</v>
      </c>
      <c r="C10" s="23" t="inlineStr">
        <is>
          <t>所有者数・共有持分・国公有地か否か・売却意思の有無</t>
        </is>
      </c>
    </row>
    <row r="11">
      <c r="A11" s="21" t="inlineStr">
        <is>
          <t>造成・現況</t>
        </is>
      </c>
      <c r="B11" s="22" t="n">
        <v>0.15</v>
      </c>
      <c r="C11" s="23" t="inlineStr">
        <is>
          <t>空き地＞農地（農転要）＞山林（林地開発・伐採・傾斜）</t>
        </is>
      </c>
    </row>
    <row r="12">
      <c r="A12" s="21" t="inlineStr">
        <is>
          <t>近隣・規制リスク</t>
        </is>
      </c>
      <c r="B12" s="22" t="n">
        <v>0.15</v>
      </c>
      <c r="C12" s="23" t="inlineStr">
        <is>
          <t>30m以内の要保護施設、住居系用途地域、自然公園・保安林・浸水等</t>
        </is>
      </c>
    </row>
    <row r="13">
      <c r="A13" s="9" t="inlineStr">
        <is>
          <t>合計</t>
        </is>
      </c>
      <c r="B13" s="24">
        <f>SUM(B8:B12)</f>
        <v/>
      </c>
    </row>
    <row r="15">
      <c r="A15" s="19" t="inlineStr">
        <is>
          <t>■ 概算設置規模の試算前提</t>
        </is>
      </c>
    </row>
    <row r="16">
      <c r="A16" s="25" t="inlineStr">
        <is>
          <t>有効利用率（造成後に機器配置に使える割合）</t>
        </is>
      </c>
      <c r="B16" s="26" t="n">
        <v>0.5</v>
      </c>
    </row>
    <row r="17">
      <c r="A17" s="25" t="inlineStr">
        <is>
          <t>1MWあたり所要面積（㎡/MW）</t>
        </is>
      </c>
      <c r="B17" s="27" t="n">
        <v>600</v>
      </c>
    </row>
    <row r="18">
      <c r="A18" s="28" t="inlineStr">
        <is>
          <t>※上記2つは社内標準値に置き換えてください。サマリの『概算設置規模』はこの2値から自動計算されます。</t>
        </is>
      </c>
    </row>
    <row r="20">
      <c r="A20" s="19" t="inlineStr">
        <is>
          <t>■ 評価点の付け方（1〜5点、5が最良）</t>
        </is>
      </c>
    </row>
    <row r="22">
      <c r="A22" s="9" t="inlineStr">
        <is>
          <t>5点</t>
        </is>
      </c>
      <c r="B22" s="17" t="inlineStr">
        <is>
          <t>変電所至近かつ空き容量に余裕／1万㎡超／単独所有＋売却意思／整地済の空き地／支障要因なし</t>
        </is>
      </c>
    </row>
    <row r="23">
      <c r="A23" s="9" t="inlineStr">
        <is>
          <t>4点</t>
        </is>
      </c>
      <c r="B23" s="17" t="inlineStr">
        <is>
          <t>3km圏内／5,000㎡前後／単独所有／空き地または平坦な農地／離隔確保済</t>
        </is>
      </c>
    </row>
    <row r="24">
      <c r="A24" s="9" t="inlineStr">
        <is>
          <t>3点</t>
        </is>
      </c>
      <c r="B24" s="17" t="inlineStr">
        <is>
          <t>3km圏内だが空き容量が小さい／3,000㎡前後／共有2名程度／農地転用が必要／軽微な確認事項</t>
        </is>
      </c>
    </row>
    <row r="25">
      <c r="A25" s="9" t="inlineStr">
        <is>
          <t>2点</t>
        </is>
      </c>
      <c r="B25" s="17" t="inlineStr">
        <is>
          <t>3km超で工事費増／2,000㎡台／共有多数・県外地権者／山林や傾斜地／住居系用途地域・地価高</t>
        </is>
      </c>
    </row>
    <row r="26">
      <c r="A26" s="9" t="inlineStr">
        <is>
          <t>1点</t>
        </is>
      </c>
      <c r="B26" s="17" t="inlineStr">
        <is>
          <t>連系困難／1,500㎡以下／国公有地で処分手続きが長期／急傾斜・大規模造成／要保護施設が近接</t>
        </is>
      </c>
    </row>
    <row r="29">
      <c r="A29" s="19" t="inlineStr">
        <is>
          <t>■ 接続検討の前に必ず潰す前提</t>
        </is>
      </c>
    </row>
    <row r="31">
      <c r="A31" s="25" t="inlineStr">
        <is>
          <t>1. 東北電力ネットワークへ『事前相談（無料）』を出し、連系点・電圧階級・概算工事費の当たりを取る。接続検討（有料）はその後。</t>
        </is>
      </c>
    </row>
    <row r="32">
      <c r="A32" s="25" t="inlineStr">
        <is>
          <t>2. 本シートの空き容量は第三者サイト経由の転載値（2026/7/3時点）。申込前に公式の最新値を確認すること。</t>
        </is>
      </c>
    </row>
    <row r="33">
      <c r="A33" s="25" t="inlineStr">
        <is>
          <t>3. 3変電所とも『平常時出力制御の可能性あり』＝出力制御リスクを事業性に織り込む必要あり。</t>
        </is>
      </c>
    </row>
    <row r="34">
      <c r="A34" s="25" t="inlineStr">
        <is>
          <t>4. 農地の筆は農振農用地区域（青地）か否かで可否と期間が大きく変わる。青森市農業委員会・農林水産部に要確認。</t>
        </is>
      </c>
    </row>
    <row r="35">
      <c r="A35" s="25" t="inlineStr">
        <is>
          <t>5. 共有地（2169312／2169316・2169317／2169324）は共有者全員の同意が前提。</t>
        </is>
      </c>
    </row>
    <row r="36">
      <c r="A36" s="25" t="inlineStr">
        <is>
          <t>6. 山林の筆（2169313／2169314／2169321／2169322）は林地開発許可・保安林・自然公園の該当確認が必要。</t>
        </is>
      </c>
    </row>
  </sheetData>
  <mergeCells count="1"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2026-09-15T07:55:48Z</dcterms:created>
  <dcterms:modified xsi:type="dcterms:W3CDTF">2026-09-15T07:55:48Z</dcterms:modified>
</cp:coreProperties>
</file>