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和歌山県西牟婁郡白浜町1505-2、3283-2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sz val="11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3.679137,135.350844" TargetMode="External" Id="rId1"/><Relationship Type="http://schemas.openxmlformats.org/officeDocument/2006/relationships/hyperlink" Target="https://www.google.com/maps?q=33.679137,135.350844" TargetMode="External" Id="rId2"/><Relationship Type="http://schemas.openxmlformats.org/officeDocument/2006/relationships/hyperlink" Target="https://maps.gsi.go.jp/#18/33.679137/135.350844/&amp;base=ort&amp;ls=ort&amp;disp=1&amp;vs=c1g1j0h0k0l0u0t0z0r0s0m0f1" TargetMode="External" Id="rId3"/><Relationship Type="http://schemas.openxmlformats.org/officeDocument/2006/relationships/hyperlink" Target="https://disaportal.gsi.go.jp/hazardmap/maps/index.html?ll=33.679137,135.350844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3.679137,135.350844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3.679137,135.350844&amp;z=16&amp;ls=ekijouka_zenkoku,0.8" TargetMode="External" Id="rId6"/><Relationship Type="http://schemas.openxmlformats.org/officeDocument/2006/relationships/hyperlink" Target="https://www.google.com/search?q=%E5%92%8C%E6%AD%8C%E5%B1%B1%E7%9C%8C%20%E7%99%BD%E6%B5%9C%E7%94%BA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7%99%BD%E6%B5%9C%E7%94%BA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7%99%BD%E6%B5%9C%E7%94%BA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7%99%BD%E6%B5%9C%E7%94%BA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3.679137,135.350844" TargetMode="External" Id="rId11"/><Relationship Type="http://schemas.openxmlformats.org/officeDocument/2006/relationships/hyperlink" Target="https://www.google.com/search?q=%E5%92%8C%E6%AD%8C%E5%B1%B1%E7%9C%8C%20%E7%99%BD%E6%B5%9C%E7%94%BA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92%8C%E6%AD%8C%E5%B1%B1%E7%9C%8C%20%E7%99%BD%E6%B5%9C%E7%94%BA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92%8C%E6%AD%8C%E5%B1%B1%E7%9C%8C%20%E9%B3%A5%E7%8D%A3%E4%BF%9D%E8%AD%B7%E5%8C%BA%20%E4%BD%8D%E7%BD%AE%E5%9B%B3" TargetMode="External" Id="rId14"/><Relationship Type="http://schemas.openxmlformats.org/officeDocument/2006/relationships/hyperlink" Target="https://www.google.com/search?q=%E5%92%8C%E6%AD%8C%E5%B1%B1%E7%9C%8C%20%E7%99%BD%E6%B5%9C%E7%94%BA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7%99%BD%E6%B5%9C%E7%94%BA%20%E6%99%AF%E8%A6%B3%E8%A8%88%E7%94%BB%E5%8C%BA%E5%9F%9F%20%E5%9B%B3" TargetMode="External" Id="rId16"/><Relationship Type="http://schemas.openxmlformats.org/officeDocument/2006/relationships/hyperlink" Target="https://www.google.com/search?q=%E7%99%BD%E6%B5%9C%E7%94%BA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7%99%BD%E6%B5%9C%E7%94%BA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ansai-td.co.jp/connect/open/capacity/" TargetMode="External" Id="rId1"/><Relationship Type="http://schemas.openxmlformats.org/officeDocument/2006/relationships/hyperlink" Target="https://www.google.com/search?q=%E6%8E%A5%E7%B6%9A%E6%A4%9C%E8%A8%8E%20%E7%94%B3%E8%BE%BC%E7%8A%B6%E6%B3%81%20%E5%85%AC%E8%A1%A8%20%E9%96%A2%E8%A5%BF" TargetMode="External" Id="rId2"/><Relationship Type="http://schemas.openxmlformats.org/officeDocument/2006/relationships/hyperlink" Target="https://www.kansai-td.co.jp/connect/open/capacity/" TargetMode="External" Id="rId3"/><Relationship Type="http://schemas.openxmlformats.org/officeDocument/2006/relationships/hyperlink" Target="https://www.google.com/search?q=%E9%96%A2%E8%A5%BF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作成日：2026-10-08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和歌山県西牟婁郡白浜町1505-2、3283-2</t>
        </is>
      </c>
    </row>
    <row r="6">
      <c r="B6" s="3" t="inlineStr">
        <is>
          <t>座標</t>
        </is>
      </c>
      <c r="C6" t="inlineStr">
        <is>
          <t>33.679137, 135.350844</t>
        </is>
      </c>
    </row>
    <row r="7">
      <c r="B7" s="3" t="inlineStr">
        <is>
          <t>送配電エリア</t>
        </is>
      </c>
      <c r="C7" t="inlineStr">
        <is>
          <t>関西エリア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18-COUNTIF('和歌山県西牟婁郡白浜町1505-2、3283-2'!$E$3:$E$20,"要確認")</f>
        <v/>
      </c>
      <c r="E15" s="9">
        <f>COUNTIF('和歌山県西牟婁郡白浜町1505-2、3283-2'!$E$3:$E$20,"要確認")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和歌山県西牟婁郡白浜町1505-2、3283-2</t>
        </is>
      </c>
      <c r="F3" s="16" t="inlineStr">
        <is>
          <t>https://www.google.com/maps?q=33.679137,135.350844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33°40'44.9"N 135°21'3.0"E（33.679137, 135.350844）</t>
        </is>
      </c>
      <c r="F4" s="16" t="inlineStr">
        <is>
          <t>https://www.google.com/maps?q=33.679137,135.350844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https://maps.gsi.go.jp/#18/33.679137/135.350844/&amp;base=ort&amp;ls=ort&amp;disp=1&amp;vs=c1g1j0h0k0l0u0t0z0r0s0m0f1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該当なし(想定区域のタイル無し)</t>
        </is>
      </c>
      <c r="F6" s="16" t="inlineStr">
        <is>
          <t>https://disaportal.gsi.go.jp/hazardmap/maps/index.html?ll=33.679137,135.350844&amp;z=16&amp;ls=flood_l2_kaokutoukai_kagan,0.8%7Cflood_l2_kaokutoukai_hanran,0.8%7Cflood_l2_keizoku,0.8%7Cflood_list,0.8%7Cflood_l1,0.8%7Cflood_list_l2,0.75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GSI災害tile(disaportal)による座標判定。洪水浸水想定区域・高潮は該当データ無し。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区域外(最寄り: 土石流警戒区域まで約46m／急傾斜警戒区域まで約76m)</t>
        </is>
      </c>
      <c r="F7" s="16" t="inlineStr">
        <is>
          <t>https://disaportal.gsi.go.jp/hazardmap/maps/index.html?ll=33.679137,135.350844&amp;z=16&amp;ls=dosha_kiken_nadare,0.8%7Cdosha_keikai_jisuberi,0.8%7Cdosha_keikai_dosekiryu,0.8%7Cdosha_keikai_kyukeisha,0.8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地点自体は区域外だが至近。県砂防マップ(わかやま土砂災害マップ)で境界を要確認。特別警戒区域の有無は別途確認。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7" t="inlineStr">
        <is>
          <t>要確認</t>
        </is>
      </c>
      <c r="F8" s="16" t="inlineStr">
        <is>
          <t>https://disaportal.gsi.go.jp/hazardmap/maps/index.html?ll=33.679137,135.350844&amp;z=16&amp;ls=ekijouka_zenkoku,0.8</t>
        </is>
      </c>
      <c r="G8" s="8" t="inlineStr">
        <is>
          <t>J-SHIS表層地盤＋各都道府県の液状化マップで確認。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7" t="inlineStr">
        <is>
          <t>要確認</t>
        </is>
      </c>
      <c r="F10" s="16" t="inlineStr">
        <is>
          <t>検索リンク（要確認）</t>
        </is>
      </c>
      <c r="G10" s="8" t="inlineStr">
        <is>
          <t>自治体の都市計画情報(web GIS)で区域区分を確認。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7" t="inlineStr">
        <is>
          <t>要確認</t>
        </is>
      </c>
      <c r="F11" s="16" t="inlineStr">
        <is>
          <t>検索リンク（要確認）</t>
        </is>
      </c>
      <c r="G11" s="8" t="inlineStr">
        <is>
          <t>同上。市街化調整区域内かを確認。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第一種中高層住居専用地域(60/200)・都市計画区域内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売主の物件概要書記載。reinfolib未実行のため要裏取り(白浜町都市計画課)。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現況: 宅地/雑木(概要書)</t>
        </is>
      </c>
      <c r="F13" s="16" t="inlineStr">
        <is>
          <t>https://www.google.com/maps?q=33.679137,135.350844</t>
        </is>
      </c>
      <c r="G13" s="8" t="inlineStr">
        <is>
          <t>地点はGoogleマップ航空写真（座標）で確認。農地区分はeMAFF農地ナビ（住所/地番検索）、種別(1/2/3種)は農業委員会へ照会。 / 登記簿・地図PDFで地目確認。農地転用の要否は農業委員会へ。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7" t="inlineStr">
        <is>
          <t>要確認</t>
        </is>
      </c>
      <c r="F14" s="16" t="inlineStr">
        <is>
          <t>検索リンク（要確認）</t>
        </is>
      </c>
      <c r="G14" s="8" t="inlineStr">
        <is>
          <t>都道府県の森林GISで地域森林計画対象民有林・保安林を確認。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7" t="inlineStr">
        <is>
          <t>要確認</t>
        </is>
      </c>
      <c r="F15" s="16" t="inlineStr">
        <is>
          <t>検索リンク（要確認）</t>
        </is>
      </c>
      <c r="G15" s="8" t="inlineStr">
        <is>
          <t>自然公園・都市公園の区域内かを確認。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7" t="inlineStr">
        <is>
          <t>要確認</t>
        </is>
      </c>
      <c r="F16" s="16" t="inlineStr">
        <is>
          <t>検索リンク（要確認）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9" t="inlineStr"/>
      <c r="B5" s="19" t="n"/>
      <c r="C5" s="9" t="inlineStr">
        <is>
          <t>3</t>
        </is>
      </c>
      <c r="D5" s="8" t="inlineStr">
        <is>
          <t>都市計画法</t>
        </is>
      </c>
      <c r="E5" s="8" t="inlineStr">
        <is>
          <t>開発行為許可</t>
        </is>
      </c>
      <c r="F5" s="8" t="inlineStr">
        <is>
          <t>都計区域外1ha以上の開発か</t>
        </is>
      </c>
      <c r="G5" s="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0" t="inlineStr">
        <is>
          <t>★</t>
        </is>
      </c>
      <c r="B10" s="21" t="n"/>
      <c r="C10" s="20" t="inlineStr">
        <is>
          <t>8</t>
        </is>
      </c>
      <c r="D10" s="22" t="inlineStr">
        <is>
          <t>特定都市河川浸水被害対策法</t>
        </is>
      </c>
      <c r="E10" s="22" t="inlineStr">
        <is>
          <t>雨水浸透阻害行為許可</t>
        </is>
      </c>
      <c r="F10" s="22" t="inlineStr">
        <is>
          <t>事前相談→許可→届出→完了検査</t>
        </is>
      </c>
      <c r="G10" s="20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23" t="inlineStr"/>
      <c r="B18" s="24" t="n"/>
      <c r="C18" s="23" t="inlineStr">
        <is>
          <t>16</t>
        </is>
      </c>
      <c r="D18" s="25" t="inlineStr">
        <is>
          <t>土砂災害危険箇所</t>
        </is>
      </c>
      <c r="E18" s="25" t="inlineStr">
        <is>
          <t>危険箇所区域確認</t>
        </is>
      </c>
      <c r="F18" s="25" t="inlineStr">
        <is>
          <t>各危険箇所区域内か</t>
        </is>
      </c>
      <c r="G18" s="23" t="inlineStr">
        <is>
          <t>要確認</t>
        </is>
      </c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4" t="inlineStr"/>
      <c r="P18" s="24" t="inlineStr">
        <is>
          <t>至近に土石流/急傾斜の警戒区域(46〜76m)。区域外だが境界要確認</t>
        </is>
      </c>
    </row>
    <row r="19" ht="28" customHeight="1">
      <c r="A19" s="20" t="inlineStr">
        <is>
          <t>★</t>
        </is>
      </c>
      <c r="B19" s="21" t="n"/>
      <c r="C19" s="20" t="inlineStr">
        <is>
          <t>17</t>
        </is>
      </c>
      <c r="D19" s="22" t="inlineStr">
        <is>
          <t>道路法①</t>
        </is>
      </c>
      <c r="E19" s="22" t="inlineStr">
        <is>
          <t>道路使用/占用許可・工事施工承認</t>
        </is>
      </c>
      <c r="F19" s="22" t="inlineStr">
        <is>
          <t>道路使用・占用の有無</t>
        </is>
      </c>
      <c r="G19" s="20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</row>
    <row r="20" ht="28" customHeight="1">
      <c r="A20" s="20" t="inlineStr">
        <is>
          <t>★</t>
        </is>
      </c>
      <c r="B20" s="21" t="n"/>
      <c r="C20" s="20" t="inlineStr">
        <is>
          <t>18</t>
        </is>
      </c>
      <c r="D20" s="22" t="inlineStr">
        <is>
          <t>道路法②</t>
        </is>
      </c>
      <c r="E20" s="22" t="inlineStr">
        <is>
          <t>特殊車両通行許可</t>
        </is>
      </c>
      <c r="F20" s="22" t="inlineStr">
        <is>
          <t>制限値超の大型車両通行（輸送確認と連動）</t>
        </is>
      </c>
      <c r="G20" s="20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0" t="inlineStr">
        <is>
          <t>★</t>
        </is>
      </c>
      <c r="B26" s="21" t="n"/>
      <c r="C26" s="20" t="inlineStr">
        <is>
          <t>24</t>
        </is>
      </c>
      <c r="D26" s="22" t="inlineStr">
        <is>
          <t>県生活環境保全条例</t>
        </is>
      </c>
      <c r="E26" s="22" t="inlineStr">
        <is>
          <t>区域外騒音指定作業/施設届出</t>
        </is>
      </c>
      <c r="F26" s="22" t="inlineStr">
        <is>
          <t>県条例の規制地域内か</t>
        </is>
      </c>
      <c r="G26" s="20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</row>
    <row r="27" ht="28" customHeight="1">
      <c r="A27" s="20" t="inlineStr">
        <is>
          <t>★</t>
        </is>
      </c>
      <c r="B27" s="21" t="n"/>
      <c r="C27" s="20" t="inlineStr">
        <is>
          <t>25</t>
        </is>
      </c>
      <c r="D27" s="22" t="inlineStr">
        <is>
          <t>建設リサイクル法</t>
        </is>
      </c>
      <c r="E27" s="22" t="inlineStr">
        <is>
          <t>対象建設工事届出</t>
        </is>
      </c>
      <c r="F27" s="22" t="inlineStr">
        <is>
          <t>対象工事・資材か（着工7日前）</t>
        </is>
      </c>
      <c r="G27" s="20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0" t="inlineStr">
        <is>
          <t>★</t>
        </is>
      </c>
      <c r="B37" s="21" t="n"/>
      <c r="C37" s="20" t="inlineStr">
        <is>
          <t>35</t>
        </is>
      </c>
      <c r="D37" s="22" t="inlineStr">
        <is>
          <t>農地法</t>
        </is>
      </c>
      <c r="E37" s="22" t="inlineStr">
        <is>
          <t>農地転用許可</t>
        </is>
      </c>
      <c r="F37" s="22" t="inlineStr">
        <is>
          <t>農地種別・土地改良区該当。事前相談→転用許可</t>
        </is>
      </c>
      <c r="G37" s="20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0" t="inlineStr">
        <is>
          <t>★</t>
        </is>
      </c>
      <c r="B39" s="21" t="n"/>
      <c r="C39" s="20" t="inlineStr">
        <is>
          <t>37</t>
        </is>
      </c>
      <c r="D39" s="22" t="inlineStr">
        <is>
          <t>消防法</t>
        </is>
      </c>
      <c r="E39" s="22" t="inlineStr">
        <is>
          <t>電気/危険物設備の各届出・許可</t>
        </is>
      </c>
      <c r="F39" s="22" t="inlineStr">
        <is>
          <t>蓄電所/発電所の消防条例手続</t>
        </is>
      </c>
      <c r="G39" s="20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納入先：和歌山県西牟婁郡白浜町1505-2、3283-2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27" t="inlineStr">
        <is>
          <t>湯崎変電所(77kV) 直線約343m</t>
        </is>
      </c>
      <c r="E4" s="28" t="inlineStr">
        <is>
          <t>注意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 / 全国変電所DB: ランク「除外」(上位系空容量0かつN-1電制不可)。ただし実回答は連系可。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27" t="inlineStr">
        <is>
          <t>高圧6.6kV・最大受電1,999kW</t>
        </is>
      </c>
      <c r="E6" s="29" t="inlineStr">
        <is>
          <t>良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 / 回答書(高圧版)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27" t="inlineStr">
        <is>
          <t>ノンファーム型接続 適用</t>
        </is>
      </c>
      <c r="E7" s="28" t="inlineStr">
        <is>
          <t>注意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 / 混雑時は無補償の出力制御(オンライン制御)。制御機器は申込者負担。影響設備: 御坊変電所500kV/77kV Tr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27" t="inlineStr">
        <is>
          <t>接続検討 回答済(2026/8/26)</t>
        </is>
      </c>
      <c r="E8" s="29" t="inlineStr">
        <is>
          <t>良</t>
        </is>
      </c>
      <c r="F8" s="8" t="inlineStr"/>
      <c r="G8" s="8" t="inlineStr">
        <is>
          <t>簡易=良／詳細の可能性=注意／不明=リスク。TSOへ事前ヒアリング推奨。 / 受付番号2026-73-01370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27" t="inlineStr">
        <is>
          <t>回答受領・連系可。保証金64万円 支払期限2027/3/9</t>
        </is>
      </c>
      <c r="E9" s="29" t="inlineStr">
        <is>
          <t>良</t>
        </is>
      </c>
      <c r="F9" s="8" t="inlineStr"/>
      <c r="G9" s="8" t="inlineStr">
        <is>
          <t>回答受取済み・申込済み=良／未申込=注意／未定=リスク。申込〜回答は通常3〜6ヶ月。 / 領収書(保証金=負担金の10%)。連系は負担金入金から約6ヶ月後。希望開始2028/3/1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27" t="inlineStr">
        <is>
          <t>工事費負担金 約637万円(税込6,370.4千円)</t>
        </is>
      </c>
      <c r="E12" s="29" t="inlineStr">
        <is>
          <t>良</t>
        </is>
      </c>
      <c r="F12" s="8" t="inlineStr"/>
      <c r="G12" s="8" t="inlineStr">
        <is>
          <t>目安1,000万円以下=良／〜3,000万円=注意／超過=リスク（増強の可能性大）。 / 架空線203.5・変電設備5,397.3・計量191.4(千円,税抜)。道路管理者等協議で増額の可能性あり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27" t="inlineStr">
        <is>
          <t>変電設備工事 約540万円(負担金の大半)</t>
        </is>
      </c>
      <c r="E13" s="28" t="inlineStr">
        <is>
          <t>注意</t>
        </is>
      </c>
      <c r="F13" s="8" t="inlineStr"/>
      <c r="G13" s="8" t="inlineStr">
        <is>
          <t>なし=良／一部あり=注意／あり（系統増強）=リスク。 / 特定負担の可能性。内訳は回答書p3参照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27" t="inlineStr">
        <is>
          <t>物件概要書: 開発許可・系統連系承諾停止条件</t>
        </is>
      </c>
      <c r="E15" s="28" t="inlineStr">
        <is>
          <t>注意</t>
        </is>
      </c>
      <c r="F15" s="8" t="inlineStr"/>
      <c r="G15" s="8" t="inlineStr">
        <is>
          <t>確定（解除条項あり）=良／交渉中=注意／未着手=リスク。接続不可時の白紙解除特約を必ず確認。 / 停止条件付き。売価6.5億円(税抜)。解除特約の内容を契約書で要確認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2026-10-08T06:13:24Z</dcterms:created>
  <dcterms:modified xmlns:dcterms="http://purl.org/dc/terms/" xmlns:xsi="http://www.w3.org/2001/XMLSchema-instance" xsi:type="dcterms:W3CDTF">2026-10-08T06:13:24Z</dcterms:modified>
</cp:coreProperties>
</file>