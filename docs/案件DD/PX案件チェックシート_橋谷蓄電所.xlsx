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和歌山県田辺市新庄町字中橋谷219-1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3.727137,135.403474" TargetMode="External" Id="rId1"/><Relationship Type="http://schemas.openxmlformats.org/officeDocument/2006/relationships/hyperlink" Target="https://www.google.com/maps?q=33.727137,135.403474" TargetMode="External" Id="rId2"/><Relationship Type="http://schemas.openxmlformats.org/officeDocument/2006/relationships/hyperlink" Target="https://maps.gsi.go.jp/#18/33.727137/135.403474/&amp;base=ort&amp;ls=ort&amp;disp=1&amp;vs=c1g1j0h0k0l0u0t0z0r0s0m0f1" TargetMode="External" Id="rId3"/><Relationship Type="http://schemas.openxmlformats.org/officeDocument/2006/relationships/hyperlink" Target="https://disaportal.gsi.go.jp/hazardmap/maps/index.html?ll=33.727137,135.403474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3.727137,135.403474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3.727137,135.403474&amp;z=16&amp;ls=ekijouka_zenkoku,0.8" TargetMode="External" Id="rId6"/><Relationship Type="http://schemas.openxmlformats.org/officeDocument/2006/relationships/hyperlink" Target="https://www.google.com/search?q=%E5%92%8C%E6%AD%8C%E5%B1%B1%E7%9C%8C%20%E7%94%B0%E8%BE%BA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7%94%B0%E8%BE%BA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7%94%B0%E8%BE%BA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7%94%B0%E8%BE%BA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3.727137,135.403474" TargetMode="External" Id="rId11"/><Relationship Type="http://schemas.openxmlformats.org/officeDocument/2006/relationships/hyperlink" Target="https://www.google.com/search?q=%E5%92%8C%E6%AD%8C%E5%B1%B1%E7%9C%8C%20%E7%94%B0%E8%BE%BA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92%8C%E6%AD%8C%E5%B1%B1%E7%9C%8C%20%E7%94%B0%E8%BE%BA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92%8C%E6%AD%8C%E5%B1%B1%E7%9C%8C%20%E9%B3%A5%E7%8D%A3%E4%BF%9D%E8%AD%B7%E5%8C%BA%20%E4%BD%8D%E7%BD%AE%E5%9B%B3" TargetMode="External" Id="rId14"/><Relationship Type="http://schemas.openxmlformats.org/officeDocument/2006/relationships/hyperlink" Target="https://www.google.com/search?q=%E5%92%8C%E6%AD%8C%E5%B1%B1%E7%9C%8C%20%E7%94%B0%E8%BE%BA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7%94%B0%E8%BE%BA%E5%B8%82%20%E6%99%AF%E8%A6%B3%E8%A8%88%E7%94%BB%E5%8C%BA%E5%9F%9F%20%E5%9B%B3" TargetMode="External" Id="rId16"/><Relationship Type="http://schemas.openxmlformats.org/officeDocument/2006/relationships/hyperlink" Target="https://www.google.com/search?q=%E7%94%B0%E8%BE%BA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7%94%B0%E8%BE%BA%E5%B8%82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ansai-td.co.jp/connect/open/capacity/" TargetMode="External" Id="rId1"/><Relationship Type="http://schemas.openxmlformats.org/officeDocument/2006/relationships/hyperlink" Target="https://www.google.com/search?q=%E6%8E%A5%E7%B6%9A%E6%A4%9C%E8%A8%8E%20%E7%94%B3%E8%BE%BC%E7%8A%B6%E6%B3%81%20%E5%85%AC%E8%A1%A8%20%E9%96%A2%E8%A5%BF" TargetMode="External" Id="rId2"/><Relationship Type="http://schemas.openxmlformats.org/officeDocument/2006/relationships/hyperlink" Target="https://www.kansai-td.co.jp/connect/open/capacity/" TargetMode="External" Id="rId3"/><Relationship Type="http://schemas.openxmlformats.org/officeDocument/2006/relationships/hyperlink" Target="https://www.google.com/search?q=%E9%96%A2%E8%A5%BF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作成日：2026-10-08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和歌山県田辺市新庄町字中橋谷219-1</t>
        </is>
      </c>
    </row>
    <row r="6">
      <c r="B6" s="3" t="inlineStr">
        <is>
          <t>座標</t>
        </is>
      </c>
      <c r="C6" t="inlineStr">
        <is>
          <t>33.727137, 135.403474</t>
        </is>
      </c>
    </row>
    <row r="7">
      <c r="B7" s="3" t="inlineStr">
        <is>
          <t>送配電エリア</t>
        </is>
      </c>
      <c r="C7" t="inlineStr">
        <is>
          <t>関西エリア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18-COUNTIF('和歌山県田辺市新庄町字中橋谷219-1'!$E$3:$E$20,"要確認")</f>
        <v/>
      </c>
      <c r="E15" s="9">
        <f>COUNTIF('和歌山県田辺市新庄町字中橋谷219-1'!$E$3:$E$20,"要確認")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和歌山県田辺市新庄町字中橋谷219-1</t>
        </is>
      </c>
      <c r="F3" s="16" t="inlineStr">
        <is>
          <t>https://www.google.com/maps?q=33.727137,135.403474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33°43'37.7"N 135°24'12.5"E（33.727137, 135.403474）</t>
        </is>
      </c>
      <c r="F4" s="16" t="inlineStr">
        <is>
          <t>https://www.google.com/maps?q=33.727137,135.403474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https://maps.gsi.go.jp/#18/33.727137/135.403474/&amp;base=ort&amp;ls=ort&amp;disp=1&amp;vs=c1g1j0h0k0l0u0t0z0r0s0m0f1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洪水: 該当なし／津波浸水想定区域内(凡例色から約1〜2m)</t>
        </is>
      </c>
      <c r="F6" s="16" t="inlineStr">
        <is>
          <t>https://disaportal.gsi.go.jp/hazardmap/maps/index.html?ll=33.727137,135.403474&amp;z=16&amp;ls=flood_l2_kaokutoukai_kagan,0.8%7Cflood_l2_kaokutoukai_hanran,0.8%7Cflood_l2_keizoku,0.8%7Cflood_list,0.8%7Cflood_l1,0.8%7Cflood_list_l2,0.75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GSI災害tile判定。津波浸水が点の位置で検出された。県津波浸水想定図で浸水深を要確認。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区域外(最寄り: 急傾斜警戒区域まで約25m／土石流警戒区域まで約89m)</t>
        </is>
      </c>
      <c r="F7" s="16" t="inlineStr">
        <is>
          <t>https://disaportal.gsi.go.jp/hazardmap/maps/index.html?ll=33.727137,135.403474&amp;z=16&amp;ls=dosha_kiken_nadare,0.8%7Cdosha_keikai_jisuberi,0.8%7Cdosha_keikai_dosekiryu,0.8%7Cdosha_keikai_kyukeisha,0.8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田辺市土砂ハザードマップ(新庄町①)の範囲。至近に急傾斜警戒区域。境界・特別警戒区域の有無を要確認。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https://disaportal.gsi.go.jp/hazardmap/maps/index.html?ll=33.727137,135.403474&amp;z=16&amp;ls=ekijouka_zenkoku,0.8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7" t="inlineStr">
        <is>
          <t>要確認</t>
        </is>
      </c>
      <c r="F10" s="16" t="inlineStr">
        <is>
          <t>検索リンク（要確認）</t>
        </is>
      </c>
      <c r="G10" s="8" t="inlineStr">
        <is>
          <t>自治体の都市計画情報(web GIS)で区域区分を確認。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7" t="inlineStr">
        <is>
          <t>要確認</t>
        </is>
      </c>
      <c r="F11" s="16" t="inlineStr">
        <is>
          <t>検索リンク（要確認）</t>
        </is>
      </c>
      <c r="G11" s="8" t="inlineStr">
        <is>
          <t>同上。市街化調整区域内かを確認。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非線引き(都市計画区域内・用途地域指定なし)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売主の物件概要書記載。要裏取り。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現況: 更地(概要書)／他法令: 農地法</t>
        </is>
      </c>
      <c r="F13" s="16" t="inlineStr">
        <is>
          <t>https://www.google.com/maps?q=33.727137,135.403474</t>
        </is>
      </c>
      <c r="G13" s="8" t="inlineStr">
        <is>
          <t>地点はGoogleマップ航空写真（座標）で確認。農地区分はeMAFF農地ナビ（住所/地番検索）、種別(1/2/3種)は農業委員会へ照会。 / 概要書で農地法が挙がっている。農地転用要否・種別を農業委員会へ要確認。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7" t="inlineStr">
        <is>
          <t>要確認</t>
        </is>
      </c>
      <c r="F15" s="16" t="inlineStr">
        <is>
          <t>検索リンク（要確認）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23" t="inlineStr"/>
      <c r="B18" s="24" t="n"/>
      <c r="C18" s="23" t="inlineStr">
        <is>
          <t>16</t>
        </is>
      </c>
      <c r="D18" s="25" t="inlineStr">
        <is>
          <t>土砂災害危険箇所</t>
        </is>
      </c>
      <c r="E18" s="25" t="inlineStr">
        <is>
          <t>危険箇所区域確認</t>
        </is>
      </c>
      <c r="F18" s="25" t="inlineStr">
        <is>
          <t>各危険箇所区域内か</t>
        </is>
      </c>
      <c r="G18" s="23" t="inlineStr">
        <is>
          <t>要確認</t>
        </is>
      </c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>
        <is>
          <t>至近に急傾斜警戒区域(約25m)</t>
        </is>
      </c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3" t="inlineStr">
        <is>
          <t>★</t>
        </is>
      </c>
      <c r="B37" s="24" t="n"/>
      <c r="C37" s="23" t="inlineStr">
        <is>
          <t>35</t>
        </is>
      </c>
      <c r="D37" s="25" t="inlineStr">
        <is>
          <t>農地法</t>
        </is>
      </c>
      <c r="E37" s="25" t="inlineStr">
        <is>
          <t>農地転用許可</t>
        </is>
      </c>
      <c r="F37" s="25" t="inlineStr">
        <is>
          <t>農地種別・土地改良区該当。事前相談→転用許可</t>
        </is>
      </c>
      <c r="G37" s="23" t="inlineStr">
        <is>
          <t>要確認</t>
        </is>
      </c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  <c r="O37" s="24" t="inlineStr"/>
      <c r="P37" s="24" t="inlineStr">
        <is>
          <t>概要書に農地法の記載あり。転用要否を確認</t>
        </is>
      </c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納入先：和歌山県田辺市新庄町字中橋谷219-1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新田辺変電所(77kV) 直線約128m</t>
        </is>
      </c>
      <c r="E4" s="28" t="inlineStr">
        <is>
          <t>注意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全国変電所DB: 空容量データ無し(ランク判定不可)。実回答は連系可。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高圧6.6kV・最大受電1,999kW</t>
        </is>
      </c>
      <c r="E6" s="29" t="inlineStr">
        <is>
          <t>良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 / 回答書(高圧版)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ノンファーム型接続 適用</t>
        </is>
      </c>
      <c r="E7" s="28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 / 混雑時は無補償の出力制御。制御機器は申込者負担。影響設備: 御坊変電所500kV/77kV Tr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27" t="inlineStr">
        <is>
          <t>接続検討 回答済(2026/9/3)</t>
        </is>
      </c>
      <c r="E8" s="29" t="inlineStr">
        <is>
          <t>良</t>
        </is>
      </c>
      <c r="F8" s="8" t="inlineStr"/>
      <c r="G8" s="8" t="inlineStr">
        <is>
          <t>簡易=良／詳細の可能性=注意／不明=リスク。TSOへ事前ヒアリング推奨。 / 受付番号2026-73-00722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27" t="inlineStr">
        <is>
          <t>回答受領・連系可。連系は負担金入金から約12ヶ月後</t>
        </is>
      </c>
      <c r="E9" s="28" t="inlineStr">
        <is>
          <t>注意</t>
        </is>
      </c>
      <c r="F9" s="8" t="inlineStr"/>
      <c r="G9" s="8" t="inlineStr">
        <is>
          <t>回答受取済み・申込済み=良／未申込=注意／未定=リスク。申込〜回答は通常3〜6ヶ月。 / 希望開始2027/7/1。入金時期次第で希望日に間に合わない可能性。概要書の「2028年3月連系」と不整合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27" t="inlineStr">
        <is>
          <t>工事費負担金 約1,291万円(税込12,910.9千円)</t>
        </is>
      </c>
      <c r="E12" s="28" t="inlineStr">
        <is>
          <t>注意</t>
        </is>
      </c>
      <c r="F12" s="8" t="inlineStr"/>
      <c r="G12" s="8" t="inlineStr">
        <is>
          <t>目安1,000万円以下=良／〜3,000万円=注意／超過=リスク（増強の可能性大）。 / 架空2,607.0・地中線3,542.4・変電5,397.3・計量191.4(千円,税抜)。新設電柱2本・高圧線513m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27" t="inlineStr">
        <is>
          <t>変電設備工事 約540万円(負担金の約47%)</t>
        </is>
      </c>
      <c r="E13" s="28" t="inlineStr">
        <is>
          <t>注意</t>
        </is>
      </c>
      <c r="F13" s="8" t="inlineStr"/>
      <c r="G13" s="8" t="inlineStr">
        <is>
          <t>なし=良／一部あり=注意／あり（系統増強）=リスク。 / 特定負担の可能性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27" t="inlineStr">
        <is>
          <t>物件概要書: 開発許可・系統連系承諾停止条件</t>
        </is>
      </c>
      <c r="E15" s="28" t="inlineStr">
        <is>
          <t>注意</t>
        </is>
      </c>
      <c r="F15" s="8" t="inlineStr"/>
      <c r="G15" s="8" t="inlineStr">
        <is>
          <t>確定（解除条項あり）=良／交渉中=注意／未着手=リスク。接続不可時の白紙解除特約を必ず確認。 / 売価6.5億円(税抜)、5,699㎡。解除特約を要確認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2026-10-08T06:13:25Z</dcterms:created>
  <dcterms:modified xmlns:dcterms="http://purl.org/dc/terms/" xmlns:xsi="http://www.w3.org/2001/XMLSchema-instance" xsi:type="dcterms:W3CDTF">2026-10-08T06:13:25Z</dcterms:modified>
</cp:coreProperties>
</file>