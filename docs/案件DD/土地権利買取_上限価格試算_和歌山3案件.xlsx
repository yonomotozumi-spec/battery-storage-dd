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試算" sheetId="1" state="visible" r:id="rId1"/>
    <sheet xmlns:r="http://schemas.openxmlformats.org/officeDocument/2006/relationships" name="出典・注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b val="1"/>
      <sz val="14"/>
    </font>
    <font>
      <color rgb="00666666"/>
      <sz val="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3" fontId="0" fillId="3" borderId="1" pivotButton="0" quotePrefix="0" xfId="0"/>
    <xf numFmtId="0" fontId="2" fillId="0" borderId="1" applyAlignment="1" pivotButton="0" quotePrefix="0" xfId="0">
      <alignment vertical="top" wrapText="1"/>
    </xf>
    <xf numFmtId="9" fontId="0" fillId="3" borderId="1" pivotButton="0" quotePrefix="0" xfId="0"/>
    <xf numFmtId="3" fontId="0" fillId="0" borderId="1" pivotButton="0" quotePrefix="0" xfId="0"/>
    <xf numFmtId="0" fontId="2" fillId="0" borderId="1" pivotButton="0" quotePrefix="0" xfId="0"/>
    <xf numFmtId="3" fontId="4" fillId="4" borderId="1" pivotButton="0" quotePrefix="0" xfId="0"/>
    <xf numFmtId="164" fontId="0" fillId="3" borderId="1" pivotButton="0" quotePrefix="0" xfId="0"/>
    <xf numFmtId="3" fontId="0" fillId="5" borderId="1" pivotButton="0" quotePrefix="0" xfId="0"/>
    <xf numFmtId="3" fontId="4" fillId="0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6" customWidth="1" min="4" max="4"/>
    <col width="16" customWidth="1" min="5" max="5"/>
    <col width="62" customWidth="1" min="6" max="6"/>
  </cols>
  <sheetData>
    <row r="1">
      <c r="B1" s="1" t="inlineStr">
        <is>
          <t>土地権利のみ買取 上限価格 試算（PX側・逆算法）</t>
        </is>
      </c>
    </row>
    <row r="2" ht="32" customHeight="1">
      <c r="B2" s="2" t="inlineStr">
        <is>
          <t>考え方：完成品としてPXが支払える価格から、設備・工事・負担金・諸経費・PXの利益を引いた残りが「土地＋連系権利」に払える上限。黄色セルは前提値（変更すると再計算）。単位は万円。</t>
        </is>
      </c>
    </row>
    <row r="4">
      <c r="A4" s="3" t="inlineStr"/>
      <c r="B4" s="3" t="inlineStr">
        <is>
          <t>項目</t>
        </is>
      </c>
      <c r="C4" s="3" t="inlineStr">
        <is>
          <t>湯崎2</t>
        </is>
      </c>
      <c r="D4" s="3" t="inlineStr">
        <is>
          <t>橋谷</t>
        </is>
      </c>
      <c r="E4" s="3" t="inlineStr">
        <is>
          <t>芳養</t>
        </is>
      </c>
      <c r="F4" s="3" t="inlineStr">
        <is>
          <t>根拠・メモ</t>
        </is>
      </c>
    </row>
    <row r="5">
      <c r="A5" s="4" t="inlineStr">
        <is>
          <t>A</t>
        </is>
      </c>
      <c r="B5" s="5" t="inlineStr">
        <is>
          <t>完成品（ターンキー）としての価値</t>
        </is>
      </c>
      <c r="C5" s="6" t="n">
        <v>65000</v>
      </c>
      <c r="D5" s="6" t="n">
        <v>65000</v>
      </c>
      <c r="E5" s="6" t="n">
        <v>65000</v>
      </c>
      <c r="F5" s="7" t="inlineStr">
        <is>
          <t>青建の希望価格6.5億円(税抜)。類似：JHD荘川蓄電所(2MW/8MWh)約7億円(2026/7)。PX社内の買取基準があればここを置換</t>
        </is>
      </c>
    </row>
    <row r="6">
      <c r="A6" s="4" t="inlineStr">
        <is>
          <t>B</t>
        </is>
      </c>
      <c r="B6" s="5" t="inlineStr">
        <is>
          <t>蓄電池＋PCS＋EPC（造成・基礎・電気工事）</t>
        </is>
      </c>
      <c r="C6" s="6" t="n">
        <v>40000</v>
      </c>
      <c r="D6" s="6" t="n">
        <v>40000</v>
      </c>
      <c r="E6" s="6" t="n">
        <v>40000</v>
      </c>
      <c r="F6" s="7" t="inlineStr">
        <is>
          <t>Mega Power2507×3=7,521kWh。全体で約5.3万円/kWhと仮定（METI資料は2022〜24年度で6.0〜7.6万円/kWh、足元は低下傾向）</t>
        </is>
      </c>
    </row>
    <row r="7">
      <c r="A7" s="4" t="inlineStr">
        <is>
          <t>C</t>
        </is>
      </c>
      <c r="B7" s="5" t="inlineStr">
        <is>
          <t>系統連系 工事費負担金（税込）</t>
        </is>
      </c>
      <c r="C7" s="6" t="n">
        <v>637</v>
      </c>
      <c r="D7" s="6" t="n">
        <v>1291</v>
      </c>
      <c r="E7" s="6" t="n">
        <v>6375</v>
      </c>
      <c r="F7" s="7" t="inlineStr">
        <is>
          <t>関電送配電 回答書の確定値。協議で増額の可能性あり</t>
        </is>
      </c>
    </row>
    <row r="8">
      <c r="A8" s="4" t="inlineStr">
        <is>
          <t>D</t>
        </is>
      </c>
      <c r="B8" s="5" t="inlineStr">
        <is>
          <t>許認可・設計・保険・金利等の諸経費</t>
        </is>
      </c>
      <c r="C8" s="6" t="n">
        <v>3000</v>
      </c>
      <c r="D8" s="6" t="n">
        <v>3000</v>
      </c>
      <c r="E8" s="6" t="n">
        <v>3000</v>
      </c>
      <c r="F8" s="7" t="inlineStr">
        <is>
          <t>開発許可・農地転用・消防・設計・建中金利などの概算</t>
        </is>
      </c>
    </row>
    <row r="9">
      <c r="A9" s="4" t="inlineStr">
        <is>
          <t>E</t>
        </is>
      </c>
      <c r="B9" s="5" t="inlineStr">
        <is>
          <t>PXの開発利益・リスク料（完成品価値に対する率）</t>
        </is>
      </c>
      <c r="C9" s="8" t="n">
        <v>0.1</v>
      </c>
      <c r="D9" s="8" t="n">
        <v>0.1</v>
      </c>
      <c r="E9" s="8" t="n">
        <v>0.1</v>
      </c>
      <c r="F9" s="7" t="inlineStr">
        <is>
          <t>率で入力（10%＝6,500万円）。社内のハードルレートに合わせる</t>
        </is>
      </c>
    </row>
    <row r="10">
      <c r="A10" s="4" t="inlineStr">
        <is>
          <t>F</t>
        </is>
      </c>
      <c r="B10" s="5" t="inlineStr">
        <is>
          <t>PX利益・リスク料（金額）</t>
        </is>
      </c>
      <c r="C10" s="9">
        <f>C5*C9</f>
        <v/>
      </c>
      <c r="D10" s="9">
        <f>D5*D9</f>
        <v/>
      </c>
      <c r="E10" s="9">
        <f>E5*E9</f>
        <v/>
      </c>
      <c r="F10" s="10" t="inlineStr">
        <is>
          <t>A×E</t>
        </is>
      </c>
    </row>
    <row r="11">
      <c r="A11" s="4" t="inlineStr">
        <is>
          <t>G</t>
        </is>
      </c>
      <c r="B11" s="4" t="inlineStr">
        <is>
          <t>土地＋連系権利に払える上限（残余）</t>
        </is>
      </c>
      <c r="C11" s="11">
        <f>C5-C6-C7-C8-C10</f>
        <v/>
      </c>
      <c r="D11" s="11">
        <f>D5-D6-D7-D8-D10</f>
        <v/>
      </c>
      <c r="E11" s="11">
        <f>E5-E6-E7-E8-E10</f>
        <v/>
      </c>
      <c r="F11" s="7" t="inlineStr">
        <is>
          <t>A−B−C−D−F。権利付き用地の市場感（約5,000万〜1.5億円）と比べる</t>
        </is>
      </c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4" t="inlineStr">
        <is>
          <t>【参考】素地としての土地価値</t>
        </is>
      </c>
      <c r="C13" s="5" t="n"/>
      <c r="D13" s="5" t="n"/>
      <c r="E13" s="5" t="n"/>
      <c r="F13" s="5" t="n"/>
    </row>
    <row r="14">
      <c r="A14" s="4" t="inlineStr">
        <is>
          <t>H</t>
        </is>
      </c>
      <c r="B14" s="5" t="inlineStr">
        <is>
          <t>公簿面積（㎡）</t>
        </is>
      </c>
      <c r="C14" s="6" t="n">
        <v>2528.63</v>
      </c>
      <c r="D14" s="6" t="n">
        <v>5699</v>
      </c>
      <c r="E14" s="6" t="n">
        <v>6713</v>
      </c>
      <c r="F14" s="7" t="inlineStr">
        <is>
          <t>物件概要書</t>
        </is>
      </c>
    </row>
    <row r="15">
      <c r="A15" s="4" t="inlineStr">
        <is>
          <t>I</t>
        </is>
      </c>
      <c r="B15" s="5" t="inlineStr">
        <is>
          <t>周辺の公的地価の目安（万円/㎡）</t>
        </is>
      </c>
      <c r="C15" s="12" t="n">
        <v>2.9</v>
      </c>
      <c r="D15" s="12" t="n">
        <v>2.5</v>
      </c>
      <c r="E15" s="12" t="n">
        <v>0.8</v>
      </c>
      <c r="F15" s="7" t="inlineStr">
        <is>
          <t>白浜町住宅地の公示平均2.9万円/㎡(2026)。新庄町は田辺市平均7.0万円/㎡の非線引き郊外として控えめに仮置き。芳養は山林・畑のため低め。※地点ごとの公示地価は不動産情報ライブラリで要確認</t>
        </is>
      </c>
    </row>
    <row r="16">
      <c r="A16" s="4" t="inlineStr">
        <is>
          <t>J</t>
        </is>
      </c>
      <c r="B16" s="5" t="inlineStr">
        <is>
          <t>素地の土地価値（万円）</t>
        </is>
      </c>
      <c r="C16" s="9">
        <f>C14*C15</f>
        <v/>
      </c>
      <c r="D16" s="9">
        <f>D14*D15</f>
        <v/>
      </c>
      <c r="E16" s="9">
        <f>E14*E15</f>
        <v/>
      </c>
      <c r="F16" s="7" t="inlineStr">
        <is>
          <t>H×I</t>
        </is>
      </c>
    </row>
    <row r="17">
      <c r="A17" s="4" t="inlineStr">
        <is>
          <t>K</t>
        </is>
      </c>
      <c r="B17" s="5" t="inlineStr">
        <is>
          <t>連系権利の価値（万円）</t>
        </is>
      </c>
      <c r="C17" s="13">
        <f>C11-C16</f>
        <v/>
      </c>
      <c r="D17" s="13">
        <f>D11-D16</f>
        <v/>
      </c>
      <c r="E17" s="13">
        <f>E11-E16</f>
        <v/>
      </c>
      <c r="F17" s="7" t="inlineStr">
        <is>
          <t>G−J。土地代を引いて権利に残る価値。マイナスなら、その土地を全部買うと採算が合わない</t>
        </is>
      </c>
    </row>
    <row r="18">
      <c r="A18" s="4" t="inlineStr">
        <is>
          <t>L</t>
        </is>
      </c>
      <c r="B18" s="5" t="inlineStr">
        <is>
          <t>BESS設置に必要な面積の目安（㎡）</t>
        </is>
      </c>
      <c r="C18" s="6" t="n">
        <v>1500</v>
      </c>
      <c r="D18" s="6" t="n">
        <v>1500</v>
      </c>
      <c r="E18" s="6" t="n">
        <v>1500</v>
      </c>
      <c r="F18" s="7" t="inlineStr">
        <is>
          <t>2MW/8MWh級は1,000〜2,000㎡で足りる例が多い（事例：952㎡）。余剰地は買わない／賃借／分筆の交渉材料</t>
        </is>
      </c>
    </row>
    <row r="19">
      <c r="A19" s="4" t="inlineStr">
        <is>
          <t>M</t>
        </is>
      </c>
      <c r="B19" s="5" t="inlineStr">
        <is>
          <t>必要面積分だけ買う場合の素地価値（万円）</t>
        </is>
      </c>
      <c r="C19" s="9">
        <f>C18*C15</f>
        <v/>
      </c>
      <c r="D19" s="9">
        <f>D18*D15</f>
        <v/>
      </c>
      <c r="E19" s="9">
        <f>E18*E15</f>
        <v/>
      </c>
      <c r="F19" s="7" t="inlineStr">
        <is>
          <t>L×I</t>
        </is>
      </c>
    </row>
    <row r="20">
      <c r="A20" s="5" t="n"/>
      <c r="B20" s="5" t="n"/>
      <c r="C20" s="5" t="n"/>
      <c r="D20" s="5" t="n"/>
      <c r="E20" s="5" t="n"/>
      <c r="F20" s="5" t="n"/>
    </row>
    <row r="21">
      <c r="A21" s="5" t="n"/>
      <c r="B21" s="4" t="inlineStr">
        <is>
          <t>【感度】土地＋権利の上限（万円）：設備費B × 完成品価値A（湯崎2の負担金・諸経費・利益率で計算）</t>
        </is>
      </c>
      <c r="C21" s="5" t="n"/>
      <c r="D21" s="5" t="n"/>
      <c r="E21" s="5" t="n"/>
      <c r="F21" s="5" t="n"/>
    </row>
    <row r="22">
      <c r="A22" s="5" t="n"/>
      <c r="B22" s="4" t="inlineStr">
        <is>
          <t>設備費B ＼ 完成品価値A</t>
        </is>
      </c>
      <c r="C22" s="14" t="n">
        <v>60000</v>
      </c>
      <c r="D22" s="14" t="n">
        <v>65000</v>
      </c>
      <c r="E22" s="14" t="n">
        <v>70000</v>
      </c>
      <c r="F22" s="5" t="n"/>
    </row>
    <row r="23">
      <c r="A23" s="5" t="n"/>
      <c r="B23" s="9" t="n">
        <v>35000</v>
      </c>
      <c r="C23" s="9">
        <f>C22-$B23-$C$7-$C$8-C22*$C$9</f>
        <v/>
      </c>
      <c r="D23" s="9">
        <f>D22-$B23-$C$7-$C$8-D22*$C$9</f>
        <v/>
      </c>
      <c r="E23" s="9">
        <f>E22-$B23-$C$7-$C$8-E22*$C$9</f>
        <v/>
      </c>
      <c r="F23" s="5" t="n"/>
    </row>
    <row r="24">
      <c r="A24" s="5" t="n"/>
      <c r="B24" s="9" t="n">
        <v>40000</v>
      </c>
      <c r="C24" s="9">
        <f>C22-$B24-$C$7-$C$8-C22*$C$9</f>
        <v/>
      </c>
      <c r="D24" s="9">
        <f>D22-$B24-$C$7-$C$8-D22*$C$9</f>
        <v/>
      </c>
      <c r="E24" s="9">
        <f>E22-$B24-$C$7-$C$8-E22*$C$9</f>
        <v/>
      </c>
      <c r="F24" s="5" t="n"/>
    </row>
    <row r="25">
      <c r="A25" s="5" t="n"/>
      <c r="B25" s="9" t="n">
        <v>45000</v>
      </c>
      <c r="C25" s="9">
        <f>C22-$B25-$C$7-$C$8-C22*$C$9</f>
        <v/>
      </c>
      <c r="D25" s="9">
        <f>D22-$B25-$C$7-$C$8-D22*$C$9</f>
        <v/>
      </c>
      <c r="E25" s="9">
        <f>E22-$B25-$C$7-$C$8-E22*$C$9</f>
        <v/>
      </c>
      <c r="F25" s="5" t="n"/>
    </row>
    <row r="26">
      <c r="A26" s="5" t="n"/>
      <c r="B26" s="5" t="n"/>
      <c r="C26" s="5" t="n"/>
      <c r="D26" s="5" t="n"/>
      <c r="E26" s="5" t="n"/>
      <c r="F26" s="5" t="n"/>
    </row>
  </sheetData>
  <mergeCells count="1">
    <mergeCell ref="B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■ この試算の性質</t>
        </is>
      </c>
    </row>
    <row r="2">
      <c r="A2" s="15" t="inlineStr">
        <is>
          <t>・PXの社内買取基準は参照していません（リポジトリ・スキルに価格基準が無いため）。公開情報と仮定で組んだ逆算モデルです。前提（黄色）を社内値に置き換えてください。</t>
        </is>
      </c>
    </row>
    <row r="3">
      <c r="A3" s="15" t="inlineStr">
        <is>
          <t>・連系権利の譲渡可否・名義変更は関西電力送配電への確認が必要です（接続検討回答書は「連系をお約束するものではない」と明記）。</t>
        </is>
      </c>
    </row>
    <row r="4">
      <c r="A4" s="15" t="inlineStr">
        <is>
          <t>・回答書は再接続検討で負担金・工期が変わる可能性があると記載。負担金は確定前の概算です。</t>
        </is>
      </c>
    </row>
    <row r="5">
      <c r="A5" s="15" t="inlineStr"/>
    </row>
    <row r="6">
      <c r="A6" s="15" t="inlineStr">
        <is>
          <t>■ 使った公開情報</t>
        </is>
      </c>
    </row>
    <row r="7">
      <c r="A7" s="15" t="inlineStr">
        <is>
          <t>・白浜町 住宅地 公示地価 平均 2.9万円/㎡（9.5万円/坪, 2026年）: https://totinokati.com/kakaku/place/30401/kouji/</t>
        </is>
      </c>
    </row>
    <row r="8">
      <c r="A8" s="15" t="inlineStr">
        <is>
          <t>・田辺市 公的地価 2026年 平均 7.04万円/㎡（市全体。新庄町・芳養の地点値ではない）: https://e-estate.jp/land/market-price/wakayama/tanabeshi/</t>
        </is>
      </c>
    </row>
    <row r="9">
      <c r="A9" s="15" t="inlineStr">
        <is>
          <t>・権利付き用地の市場感 5,000万〜1.5億円、土地価格に権利分を数千万円上乗せ: https://tiktak-jp.com/column/apply/</t>
        </is>
      </c>
    </row>
    <row r="10">
      <c r="A10" s="15" t="inlineStr">
        <is>
          <t>・JHD（2721）荘川蓄電所 2MW/8MWh 完成品 約7億円（2026/7/30開示）: https://finance.biggo.jp/news/jpx_tdnet_140120260730503765</t>
        </is>
      </c>
    </row>
    <row r="11">
      <c r="A11" s="15" t="inlineStr">
        <is>
          <t>・METI 系統用蓄電池コスト 6.0〜7.6万円/kWh（2022〜24年度）: https://www.meti.go.jp/shingikai/enecho/shoene_shinene/shin_energy/keito_wg/pdf/049_03_00.pdf</t>
        </is>
      </c>
    </row>
    <row r="12">
      <c r="A12" s="15" t="inlineStr">
        <is>
          <t>・土地＋権利物件の例（1,957〜1,999kW・846〜3,839㎡、価格は応相談）: https://www.co-sumida.jp/chikudensho.html</t>
        </is>
      </c>
    </row>
    <row r="13">
      <c r="A13" s="15" t="inlineStr"/>
    </row>
    <row r="14">
      <c r="A14" s="15" t="inlineStr">
        <is>
          <t>■ 案件固有の値（回答書・概要書より）</t>
        </is>
      </c>
    </row>
    <row r="15">
      <c r="A15" s="15" t="inlineStr">
        <is>
          <t>・湯崎2: 2,528.63㎡、負担金6,370.4千円(税込)、入金後約6ヶ月</t>
        </is>
      </c>
    </row>
    <row r="16">
      <c r="A16" s="15" t="inlineStr">
        <is>
          <t>・橋谷: 5,699㎡、負担金12,910.9千円(税込)、入金後約12ヶ月</t>
        </is>
      </c>
    </row>
    <row r="17">
      <c r="A17" s="15" t="inlineStr">
        <is>
          <t>・芳養: 6,713㎡、負担金63,747.3千円(税込)、入金後約12ヶ月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2026-10-08T06:40:05Z</dcterms:created>
  <dcterms:modified xmlns:dcterms="http://purl.org/dc/terms/" xmlns:xsi="http://www.w3.org/2001/XMLSchema-instance" xsi:type="dcterms:W3CDTF">2026-10-08T06:40:05Z</dcterms:modified>
</cp:coreProperties>
</file>