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算" sheetId="1" state="visible" r:id="rId1"/>
    <sheet xmlns:r="http://schemas.openxmlformats.org/officeDocument/2006/relationships" name="出典・注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b val="1"/>
      <sz val="14"/>
    </font>
    <font>
      <color rgb="00666666"/>
      <sz val="9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3" fontId="0" fillId="3" borderId="1" pivotButton="0" quotePrefix="0" xfId="0"/>
    <xf numFmtId="0" fontId="2" fillId="0" borderId="1" applyAlignment="1" pivotButton="0" quotePrefix="0" xfId="0">
      <alignment vertical="top" wrapText="1"/>
    </xf>
    <xf numFmtId="3" fontId="4" fillId="4" borderId="1" pivotButton="0" quotePrefix="0" xfId="0"/>
    <xf numFmtId="0" fontId="2" fillId="0" borderId="1" pivotButton="0" quotePrefix="0" xfId="0"/>
    <xf numFmtId="164" fontId="0" fillId="3" borderId="1" pivotButton="0" quotePrefix="0" xfId="0"/>
    <xf numFmtId="3" fontId="0" fillId="0" borderId="1" pivotButton="0" quotePrefix="0" xfId="0"/>
    <xf numFmtId="3" fontId="0" fillId="5" borderId="1" pivotButton="0" quotePrefix="0" xfId="0"/>
    <xf numFmtId="3" fontId="4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16" customWidth="1" min="4" max="4"/>
    <col width="16" customWidth="1" min="5" max="5"/>
    <col width="64" customWidth="1" min="6" max="6"/>
  </cols>
  <sheetData>
    <row r="1">
      <c r="B1" s="1" t="inlineStr">
        <is>
          <t>土地権利のみ買取 上限価格 試算（PX側・逆算法）</t>
        </is>
      </c>
    </row>
    <row r="2" ht="32" customHeight="1">
      <c r="B2" s="2" t="inlineStr">
        <is>
          <t>考え方：完成品の販売価格から、機材・工事・負担金を引いた残りが「土地＋連系権利」に払える上限。PXの利益は機材価格（粗利約30%）に含む前提。黄色セルは前提値（変更すると再計算）。単位は万円。</t>
        </is>
      </c>
    </row>
    <row r="4">
      <c r="A4" s="3" t="inlineStr"/>
      <c r="B4" s="3" t="inlineStr">
        <is>
          <t>項目</t>
        </is>
      </c>
      <c r="C4" s="3" t="inlineStr">
        <is>
          <t>湯崎2</t>
        </is>
      </c>
      <c r="D4" s="3" t="inlineStr">
        <is>
          <t>橋谷</t>
        </is>
      </c>
      <c r="E4" s="3" t="inlineStr">
        <is>
          <t>芳養</t>
        </is>
      </c>
      <c r="F4" s="3" t="inlineStr">
        <is>
          <t>根拠・メモ</t>
        </is>
      </c>
    </row>
    <row r="5">
      <c r="A5" s="4" t="inlineStr">
        <is>
          <t>A</t>
        </is>
      </c>
      <c r="B5" s="5" t="inlineStr">
        <is>
          <t>完成品の販売価格（基本ケース）</t>
        </is>
      </c>
      <c r="C5" s="6" t="n">
        <v>50000</v>
      </c>
      <c r="D5" s="6" t="n">
        <v>50000</v>
      </c>
      <c r="E5" s="6" t="n">
        <v>50000</v>
      </c>
      <c r="F5" s="7" t="inlineStr">
        <is>
          <t>現状の販売見込み5.0〜5.5億円。基本は下限の5.0億円で置く</t>
        </is>
      </c>
    </row>
    <row r="6">
      <c r="A6" s="4" t="inlineStr">
        <is>
          <t>B</t>
        </is>
      </c>
      <c r="B6" s="5" t="inlineStr">
        <is>
          <t>機材（蓄電池・PCS・監視盤・受電設備・輸送・試験）</t>
        </is>
      </c>
      <c r="C6" s="6" t="n">
        <v>38000</v>
      </c>
      <c r="D6" s="6" t="n">
        <v>38000</v>
      </c>
      <c r="E6" s="6" t="n">
        <v>38000</v>
      </c>
      <c r="F6" s="7" t="inlineStr">
        <is>
          <t>PX見積(MP2507×3, 2026/3)の税抜合計3.86億円＝基本3.8億円。粗利約30%込み（原価2.7億円）</t>
        </is>
      </c>
    </row>
    <row r="7">
      <c r="A7" s="4" t="inlineStr">
        <is>
          <t>C</t>
        </is>
      </c>
      <c r="B7" s="5" t="inlineStr">
        <is>
          <t>工事費（基礎・設置・電気・造成など）</t>
        </is>
      </c>
      <c r="C7" s="6" t="n">
        <v>8000</v>
      </c>
      <c r="D7" s="6" t="n">
        <v>8000</v>
      </c>
      <c r="E7" s="6" t="n">
        <v>8000</v>
      </c>
      <c r="F7" s="7" t="inlineStr">
        <is>
          <t>通常約5,000万円だが、安全側に8,000万円で計上（PX指示 2026-10-08）</t>
        </is>
      </c>
    </row>
    <row r="8">
      <c r="A8" s="4" t="inlineStr">
        <is>
          <t>D</t>
        </is>
      </c>
      <c r="B8" s="5" t="inlineStr">
        <is>
          <t>系統連系 工事費負担金（税込）</t>
        </is>
      </c>
      <c r="C8" s="6" t="n">
        <v>637</v>
      </c>
      <c r="D8" s="6" t="n">
        <v>1291</v>
      </c>
      <c r="E8" s="6" t="n">
        <v>6375</v>
      </c>
      <c r="F8" s="7" t="inlineStr">
        <is>
          <t>関電送配電 回答書の確定値。協議で増額の可能性あり</t>
        </is>
      </c>
    </row>
    <row r="9">
      <c r="A9" s="4" t="inlineStr">
        <is>
          <t>E</t>
        </is>
      </c>
      <c r="B9" s="5" t="inlineStr">
        <is>
          <t>許認可・設計・その他諸経費</t>
        </is>
      </c>
      <c r="C9" s="6" t="n">
        <v>0</v>
      </c>
      <c r="D9" s="6" t="n">
        <v>0</v>
      </c>
      <c r="E9" s="6" t="n">
        <v>0</v>
      </c>
      <c r="F9" s="7" t="inlineStr">
        <is>
          <t>工事費に含む前提で0。別建てなら入力</t>
        </is>
      </c>
    </row>
    <row r="10">
      <c r="A10" s="4" t="inlineStr">
        <is>
          <t>G</t>
        </is>
      </c>
      <c r="B10" s="4" t="inlineStr">
        <is>
          <t>土地＋連系権利に払える上限（基本ケース）</t>
        </is>
      </c>
      <c r="C10" s="8">
        <f>C5-C6-C7-C8-C9</f>
        <v/>
      </c>
      <c r="D10" s="8">
        <f>D5-D6-D7-D8-D9</f>
        <v/>
      </c>
      <c r="E10" s="8">
        <f>E5-E6-E7-E8-E9</f>
        <v/>
      </c>
      <c r="F10" s="9" t="inlineStr">
        <is>
          <t>A−B−C−D−E</t>
        </is>
      </c>
    </row>
    <row r="11">
      <c r="A11" s="4" t="inlineStr">
        <is>
          <t>G2</t>
        </is>
      </c>
      <c r="B11" s="4" t="inlineStr">
        <is>
          <t>同上（販売5.5億・機材3.3億の最良ケース）</t>
        </is>
      </c>
      <c r="C11" s="8">
        <f>55000-33000-C7-C8-C9</f>
        <v/>
      </c>
      <c r="D11" s="8">
        <f>55000-33000-D7-D8-D9</f>
        <v/>
      </c>
      <c r="E11" s="8">
        <f>55000-33000-E7-E8-E9</f>
        <v/>
      </c>
      <c r="F11" s="9" t="inlineStr">
        <is>
          <t>販売上限5.5億円、機材を許容下限3.3億円まで下げた場合</t>
        </is>
      </c>
    </row>
    <row r="12">
      <c r="A12" s="4" t="inlineStr">
        <is>
          <t>G3</t>
        </is>
      </c>
      <c r="B12" s="4" t="inlineStr">
        <is>
          <t>同上（販売5.0億・機材3.3億の保守ケース）</t>
        </is>
      </c>
      <c r="C12" s="8">
        <f>50000-33000-C7-C8-C9</f>
        <v/>
      </c>
      <c r="D12" s="8">
        <f>50000-33000-D7-D8-D9</f>
        <v/>
      </c>
      <c r="E12" s="8">
        <f>50000-33000-E7-E8-E9</f>
        <v/>
      </c>
      <c r="F12" s="9" t="inlineStr">
        <is>
          <t>販売は下限5.0億円のまま、機材だけ許容下限3.3億円まで下げた場合</t>
        </is>
      </c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4" t="inlineStr">
        <is>
          <t>【参考】素地としての土地価値</t>
        </is>
      </c>
      <c r="C14" s="5" t="n"/>
      <c r="D14" s="5" t="n"/>
      <c r="E14" s="5" t="n"/>
      <c r="F14" s="5" t="n"/>
    </row>
    <row r="15">
      <c r="A15" s="4" t="inlineStr">
        <is>
          <t>H</t>
        </is>
      </c>
      <c r="B15" s="5" t="inlineStr">
        <is>
          <t>公簿面積（㎡）</t>
        </is>
      </c>
      <c r="C15" s="6" t="n">
        <v>2528.63</v>
      </c>
      <c r="D15" s="6" t="n">
        <v>5699</v>
      </c>
      <c r="E15" s="6" t="n">
        <v>6713</v>
      </c>
      <c r="F15" s="7" t="inlineStr">
        <is>
          <t>物件概要書</t>
        </is>
      </c>
    </row>
    <row r="16">
      <c r="A16" s="4" t="inlineStr">
        <is>
          <t>I</t>
        </is>
      </c>
      <c r="B16" s="5" t="inlineStr">
        <is>
          <t>周辺の公的地価の目安（万円/㎡）</t>
        </is>
      </c>
      <c r="C16" s="10" t="n">
        <v>2.9</v>
      </c>
      <c r="D16" s="10" t="n">
        <v>2.5</v>
      </c>
      <c r="E16" s="10" t="n">
        <v>0.8</v>
      </c>
      <c r="F16" s="7" t="inlineStr">
        <is>
          <t>白浜町住宅地の公示平均2.9万円/㎡(2026)。新庄町は田辺市平均7.0万円/㎡の非線引き郊外として控えめに仮置き。芳養は山林・畑のため低め。地点値は不動産情報ライブラリで要確認</t>
        </is>
      </c>
    </row>
    <row r="17">
      <c r="A17" s="4" t="inlineStr">
        <is>
          <t>J</t>
        </is>
      </c>
      <c r="B17" s="5" t="inlineStr">
        <is>
          <t>素地の土地価値（万円）</t>
        </is>
      </c>
      <c r="C17" s="11">
        <f>C15*C16</f>
        <v/>
      </c>
      <c r="D17" s="11">
        <f>D15*D16</f>
        <v/>
      </c>
      <c r="E17" s="11">
        <f>E15*E16</f>
        <v/>
      </c>
      <c r="F17" s="7" t="inlineStr">
        <is>
          <t>H×I</t>
        </is>
      </c>
    </row>
    <row r="18">
      <c r="A18" s="4" t="inlineStr">
        <is>
          <t>K</t>
        </is>
      </c>
      <c r="B18" s="5" t="inlineStr">
        <is>
          <t>基本ケースで連系権利に残る価値（万円）</t>
        </is>
      </c>
      <c r="C18" s="12">
        <f>C10-C17</f>
        <v/>
      </c>
      <c r="D18" s="12">
        <f>D10-D17</f>
        <v/>
      </c>
      <c r="E18" s="12">
        <f>E10-E17</f>
        <v/>
      </c>
      <c r="F18" s="7" t="inlineStr">
        <is>
          <t>G−J。マイナス＝土地を全部買うと採算が合わない</t>
        </is>
      </c>
    </row>
    <row r="19">
      <c r="A19" s="4" t="inlineStr">
        <is>
          <t>L</t>
        </is>
      </c>
      <c r="B19" s="5" t="inlineStr">
        <is>
          <t>BESS設置に必要な面積の目安（㎡）</t>
        </is>
      </c>
      <c r="C19" s="6" t="n">
        <v>1500</v>
      </c>
      <c r="D19" s="6" t="n">
        <v>1500</v>
      </c>
      <c r="E19" s="6" t="n">
        <v>1500</v>
      </c>
      <c r="F19" s="7" t="inlineStr">
        <is>
          <t>2MW/8MWh級は1,000〜2,000㎡で足りる例が多い（事例：952㎡）。余剰地は分筆・賃借の交渉材料</t>
        </is>
      </c>
    </row>
    <row r="20">
      <c r="A20" s="4" t="inlineStr">
        <is>
          <t>M</t>
        </is>
      </c>
      <c r="B20" s="5" t="inlineStr">
        <is>
          <t>必要面積分だけ買う場合の素地価値（万円）</t>
        </is>
      </c>
      <c r="C20" s="11">
        <f>C19*C16</f>
        <v/>
      </c>
      <c r="D20" s="11">
        <f>D19*D16</f>
        <v/>
      </c>
      <c r="E20" s="11">
        <f>E19*E16</f>
        <v/>
      </c>
      <c r="F20" s="7" t="inlineStr">
        <is>
          <t>L×I</t>
        </is>
      </c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4" t="inlineStr">
        <is>
          <t>【感度：湯崎2】土地＋権利の上限（万円）：機材B ＼ 販売価格A</t>
        </is>
      </c>
      <c r="C22" s="5" t="n"/>
      <c r="D22" s="5" t="n"/>
      <c r="E22" s="5" t="n"/>
      <c r="F22" s="5" t="n"/>
    </row>
    <row r="23">
      <c r="A23" s="5" t="n"/>
      <c r="B23" s="4" t="inlineStr">
        <is>
          <t>機材 ＼ 販売</t>
        </is>
      </c>
      <c r="C23" s="13" t="n">
        <v>50000</v>
      </c>
      <c r="D23" s="13" t="n">
        <v>52500</v>
      </c>
      <c r="E23" s="13" t="n">
        <v>55000</v>
      </c>
      <c r="F23" s="5" t="n"/>
    </row>
    <row r="24">
      <c r="A24" s="5" t="n"/>
      <c r="B24" s="11" t="n">
        <v>38000</v>
      </c>
      <c r="C24" s="11">
        <f>C23-$B24-$C$7-$C$8-$C$9</f>
        <v/>
      </c>
      <c r="D24" s="11">
        <f>D23-$B24-$C$7-$C$8-$C$9</f>
        <v/>
      </c>
      <c r="E24" s="11">
        <f>E23-$B24-$C$7-$C$8-$C$9</f>
        <v/>
      </c>
      <c r="F24" s="5" t="n"/>
    </row>
    <row r="25">
      <c r="A25" s="5" t="n"/>
      <c r="B25" s="11" t="n">
        <v>35500</v>
      </c>
      <c r="C25" s="11">
        <f>C23-$B25-$C$7-$C$8-$C$9</f>
        <v/>
      </c>
      <c r="D25" s="11">
        <f>D23-$B25-$C$7-$C$8-$C$9</f>
        <v/>
      </c>
      <c r="E25" s="11">
        <f>E23-$B25-$C$7-$C$8-$C$9</f>
        <v/>
      </c>
      <c r="F25" s="5" t="n"/>
    </row>
    <row r="26">
      <c r="A26" s="5" t="n"/>
      <c r="B26" s="11" t="n">
        <v>33000</v>
      </c>
      <c r="C26" s="11">
        <f>C23-$B26-$C$7-$C$8-$C$9</f>
        <v/>
      </c>
      <c r="D26" s="11">
        <f>D23-$B26-$C$7-$C$8-$C$9</f>
        <v/>
      </c>
      <c r="E26" s="11">
        <f>E23-$B26-$C$7-$C$8-$C$9</f>
        <v/>
      </c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4" t="inlineStr">
        <is>
          <t>【感度：橋谷】土地＋権利の上限（万円）：機材B ＼ 販売価格A</t>
        </is>
      </c>
      <c r="C28" s="5" t="n"/>
      <c r="D28" s="5" t="n"/>
      <c r="E28" s="5" t="n"/>
      <c r="F28" s="5" t="n"/>
    </row>
    <row r="29">
      <c r="A29" s="5" t="n"/>
      <c r="B29" s="4" t="inlineStr">
        <is>
          <t>機材 ＼ 販売</t>
        </is>
      </c>
      <c r="C29" s="13" t="n">
        <v>50000</v>
      </c>
      <c r="D29" s="13" t="n">
        <v>52500</v>
      </c>
      <c r="E29" s="13" t="n">
        <v>55000</v>
      </c>
      <c r="F29" s="5" t="n"/>
    </row>
    <row r="30">
      <c r="A30" s="5" t="n"/>
      <c r="B30" s="11" t="n">
        <v>38000</v>
      </c>
      <c r="C30" s="11">
        <f>C29-$B30-$D$7-$D$8-$D$9</f>
        <v/>
      </c>
      <c r="D30" s="11">
        <f>D29-$B30-$D$7-$D$8-$D$9</f>
        <v/>
      </c>
      <c r="E30" s="11">
        <f>E29-$B30-$D$7-$D$8-$D$9</f>
        <v/>
      </c>
      <c r="F30" s="5" t="n"/>
    </row>
    <row r="31">
      <c r="A31" s="5" t="n"/>
      <c r="B31" s="11" t="n">
        <v>35500</v>
      </c>
      <c r="C31" s="11">
        <f>C29-$B31-$D$7-$D$8-$D$9</f>
        <v/>
      </c>
      <c r="D31" s="11">
        <f>D29-$B31-$D$7-$D$8-$D$9</f>
        <v/>
      </c>
      <c r="E31" s="11">
        <f>E29-$B31-$D$7-$D$8-$D$9</f>
        <v/>
      </c>
      <c r="F31" s="5" t="n"/>
    </row>
    <row r="32">
      <c r="A32" s="5" t="n"/>
      <c r="B32" s="11" t="n">
        <v>33000</v>
      </c>
      <c r="C32" s="11">
        <f>C29-$B32-$D$7-$D$8-$D$9</f>
        <v/>
      </c>
      <c r="D32" s="11">
        <f>D29-$B32-$D$7-$D$8-$D$9</f>
        <v/>
      </c>
      <c r="E32" s="11">
        <f>E29-$B32-$D$7-$D$8-$D$9</f>
        <v/>
      </c>
      <c r="F32" s="5" t="n"/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4" t="inlineStr">
        <is>
          <t>【感度：芳養】土地＋権利の上限（万円）：機材B ＼ 販売価格A</t>
        </is>
      </c>
      <c r="C34" s="5" t="n"/>
      <c r="D34" s="5" t="n"/>
      <c r="E34" s="5" t="n"/>
      <c r="F34" s="5" t="n"/>
    </row>
    <row r="35">
      <c r="A35" s="5" t="n"/>
      <c r="B35" s="4" t="inlineStr">
        <is>
          <t>機材 ＼ 販売</t>
        </is>
      </c>
      <c r="C35" s="13" t="n">
        <v>50000</v>
      </c>
      <c r="D35" s="13" t="n">
        <v>52500</v>
      </c>
      <c r="E35" s="13" t="n">
        <v>55000</v>
      </c>
      <c r="F35" s="5" t="n"/>
    </row>
    <row r="36">
      <c r="A36" s="5" t="n"/>
      <c r="B36" s="11" t="n">
        <v>38000</v>
      </c>
      <c r="C36" s="11">
        <f>C35-$B36-$E$7-$E$8-$E$9</f>
        <v/>
      </c>
      <c r="D36" s="11">
        <f>D35-$B36-$E$7-$E$8-$E$9</f>
        <v/>
      </c>
      <c r="E36" s="11">
        <f>E35-$B36-$E$7-$E$8-$E$9</f>
        <v/>
      </c>
      <c r="F36" s="5" t="n"/>
    </row>
    <row r="37">
      <c r="A37" s="5" t="n"/>
      <c r="B37" s="11" t="n">
        <v>35500</v>
      </c>
      <c r="C37" s="11">
        <f>C35-$B37-$E$7-$E$8-$E$9</f>
        <v/>
      </c>
      <c r="D37" s="11">
        <f>D35-$B37-$E$7-$E$8-$E$9</f>
        <v/>
      </c>
      <c r="E37" s="11">
        <f>E35-$B37-$E$7-$E$8-$E$9</f>
        <v/>
      </c>
      <c r="F37" s="5" t="n"/>
    </row>
    <row r="38">
      <c r="A38" s="5" t="n"/>
      <c r="B38" s="11" t="n">
        <v>33000</v>
      </c>
      <c r="C38" s="11">
        <f>C35-$B38-$E$7-$E$8-$E$9</f>
        <v/>
      </c>
      <c r="D38" s="11">
        <f>D35-$B38-$E$7-$E$8-$E$9</f>
        <v/>
      </c>
      <c r="E38" s="11">
        <f>E35-$B38-$E$7-$E$8-$E$9</f>
        <v/>
      </c>
      <c r="F38" s="5" t="n"/>
    </row>
    <row r="39">
      <c r="A39" s="5" t="n"/>
      <c r="B39" s="5" t="n"/>
      <c r="C39" s="5" t="n"/>
      <c r="D39" s="5" t="n"/>
      <c r="E39" s="5" t="n"/>
      <c r="F39" s="5" t="n"/>
    </row>
    <row r="40">
      <c r="A40" s="5" t="n"/>
      <c r="B40" s="5" t="n"/>
      <c r="C40" s="5" t="n"/>
      <c r="D40" s="5" t="n"/>
      <c r="E40" s="5" t="n"/>
      <c r="F40" s="5" t="n"/>
    </row>
  </sheetData>
  <mergeCells count="1">
    <mergeCell ref="B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4" t="inlineStr">
        <is>
          <t>■ 前提（PX側ヒアリング 2026-10-08）</t>
        </is>
      </c>
    </row>
    <row r="2">
      <c r="A2" s="14" t="inlineStr">
        <is>
          <t>・完成品の販売見込み：5.0〜5.5億円</t>
        </is>
      </c>
    </row>
    <row r="3">
      <c r="A3" s="14" t="inlineStr">
        <is>
          <t>・機材：基本3.8億円（PX見積 202511-BESS-0001 税抜3.86億円、原価2.70億円、粗利30%）。3.3億円まで許容可能</t>
        </is>
      </c>
    </row>
    <row r="4">
      <c r="A4" s="14" t="inlineStr">
        <is>
          <t>・工事費：通常約5,000万円 → 安全側に8,000万円で計上</t>
        </is>
      </c>
    </row>
    <row r="5">
      <c r="A5" s="14" t="inlineStr"/>
    </row>
    <row r="6">
      <c r="A6" s="14" t="inlineStr">
        <is>
          <t>■ 注意</t>
        </is>
      </c>
    </row>
    <row r="7">
      <c r="A7" s="14" t="inlineStr">
        <is>
          <t>・連系権利の名義変更可否は関西電力送配電に要確認（回答書は連系を約束するものではない）。</t>
        </is>
      </c>
    </row>
    <row r="8">
      <c r="A8" s="14" t="inlineStr">
        <is>
          <t>・回答書は再接続検討で負担金・工期が変わる可能性あり。</t>
        </is>
      </c>
    </row>
    <row r="9">
      <c r="A9" s="14" t="inlineStr">
        <is>
          <t>・公示地価は町・市平均。地点値は不動産情報ライブラリで確認。</t>
        </is>
      </c>
    </row>
    <row r="10">
      <c r="A10" s="14" t="inlineStr"/>
    </row>
    <row r="11">
      <c r="A11" s="14" t="inlineStr">
        <is>
          <t>■ 公開情報</t>
        </is>
      </c>
    </row>
    <row r="12">
      <c r="A12" s="14" t="inlineStr">
        <is>
          <t>・白浜町 住宅地 公示地価 平均2.9万円/㎡(2026): https://totinokati.com/kakaku/place/30401/kouji/</t>
        </is>
      </c>
    </row>
    <row r="13">
      <c r="A13" s="14" t="inlineStr">
        <is>
          <t>・田辺市 公的地価 2026 平均7.04万円/㎡: https://e-estate.jp/land/market-price/wakayama/tanabeshi/</t>
        </is>
      </c>
    </row>
    <row r="14">
      <c r="A14" s="14" t="inlineStr">
        <is>
          <t>・権利付き用地の市場感 5,000万〜1.5億円: https://tiktak-jp.com/column/apply/</t>
        </is>
      </c>
    </row>
    <row r="15">
      <c r="A15" s="14" t="inlineStr"/>
    </row>
    <row r="16">
      <c r="A16" s="14" t="inlineStr">
        <is>
          <t>■ 案件固有の値</t>
        </is>
      </c>
    </row>
    <row r="17">
      <c r="A17" s="14" t="inlineStr">
        <is>
          <t>・湯崎2: 2,528.63㎡、負担金6,370.4千円(税込)、入金後約6ヶ月</t>
        </is>
      </c>
    </row>
    <row r="18">
      <c r="A18" s="14" t="inlineStr">
        <is>
          <t>・橋谷: 5,699㎡、負担金12,910.9千円(税込)、入金後約12ヶ月</t>
        </is>
      </c>
    </row>
    <row r="19">
      <c r="A19" s="14" t="inlineStr">
        <is>
          <t>・芳養: 6,713㎡、負担金63,747.3千円(税込)、入金後約12ヶ月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2026-10-08T07:02:59Z</dcterms:created>
  <dcterms:modified xmlns:dcterms="http://purl.org/dc/terms/" xmlns:xsi="http://www.w3.org/2001/XMLSchema-instance" xsi:type="dcterms:W3CDTF">2026-10-08T07:02:59Z</dcterms:modified>
</cp:coreProperties>
</file>