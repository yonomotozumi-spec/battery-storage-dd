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岐阜県多治見市大薮町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5.38001,137.06507" TargetMode="External" Id="rId1"/><Relationship Type="http://schemas.openxmlformats.org/officeDocument/2006/relationships/hyperlink" Target="https://www.google.com/maps?q=35.38001,137.06507" TargetMode="External" Id="rId2"/><Relationship Type="http://schemas.openxmlformats.org/officeDocument/2006/relationships/hyperlink" Target="https://maps.gsi.go.jp/#18/35.38001/137.06507/&amp;base=ort&amp;ls=ort&amp;disp=1&amp;vs=c1g1j0h0k0l0u0t0z0r0s0m0f1" TargetMode="External" Id="rId3"/><Relationship Type="http://schemas.openxmlformats.org/officeDocument/2006/relationships/hyperlink" Target="https://disaportal.gsi.go.jp/hazardmap/maps/index.html?ll=35.38001,137.06507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5.38001,137.06507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5.38001,137.06507&amp;z=16&amp;ls=ekijouka_zenkoku,0.8" TargetMode="External" Id="rId6"/><Relationship Type="http://schemas.openxmlformats.org/officeDocument/2006/relationships/hyperlink" Target="https://www.google.com/search?q=%E5%B2%90%E9%98%9C%E7%9C%8C%20%E5%A4%9A%E6%B2%BB%E8%A6%8B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5%A4%9A%E6%B2%BB%E8%A6%8B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5%A4%9A%E6%B2%BB%E8%A6%8B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5%A4%9A%E6%B2%BB%E8%A6%8B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5.38001,137.06507" TargetMode="External" Id="rId11"/><Relationship Type="http://schemas.openxmlformats.org/officeDocument/2006/relationships/hyperlink" Target="https://www.google.com/search?q=%E5%B2%90%E9%98%9C%E7%9C%8C%20%E5%A4%9A%E6%B2%BB%E8%A6%8B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B2%90%E9%98%9C%E7%9C%8C%20%E5%A4%9A%E6%B2%BB%E8%A6%8B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B2%90%E9%98%9C%E7%9C%8C%20%E9%B3%A5%E7%8D%A3%E4%BF%9D%E8%AD%B7%E5%8C%BA%20%E4%BD%8D%E7%BD%AE%E5%9B%B3" TargetMode="External" Id="rId14"/><Relationship Type="http://schemas.openxmlformats.org/officeDocument/2006/relationships/hyperlink" Target="https://www.google.com/search?q=%E5%B2%90%E9%98%9C%E7%9C%8C%20%E5%A4%9A%E6%B2%BB%E8%A6%8B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5%A4%9A%E6%B2%BB%E8%A6%8B%E5%B8%82%20%E6%99%AF%E8%A6%B3%E8%A8%88%E7%94%BB%E5%8C%BA%E5%9F%9F%20%E5%9B%B3" TargetMode="External" Id="rId16"/><Relationship Type="http://schemas.openxmlformats.org/officeDocument/2006/relationships/hyperlink" Target="https://www.google.com/search?q=%E5%A4%9A%E6%B2%BB%E8%A6%8B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5%A4%9A%E6%B2%BB%E8%A6%8B%E5%B8%82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powergrid.chuden.co.jp/network/open/akiyouryou/" TargetMode="External" Id="rId1"/><Relationship Type="http://schemas.openxmlformats.org/officeDocument/2006/relationships/hyperlink" Target="https://www.google.com/search?q=%E6%8E%A5%E7%B6%9A%E6%A4%9C%E8%A8%8E%20%E7%94%B3%E8%BE%BC%E7%8A%B6%E6%B3%81%20%E5%85%AC%E8%A1%A8%20%E4%B8%AD%E9%83%A8" TargetMode="External" Id="rId2"/><Relationship Type="http://schemas.openxmlformats.org/officeDocument/2006/relationships/hyperlink" Target="https://powergrid.chuden.co.jp/network/open/akiyouryou/" TargetMode="External" Id="rId3"/><Relationship Type="http://schemas.openxmlformats.org/officeDocument/2006/relationships/hyperlink" Target="https://www.google.com/search?q=%E4%B8%AD%E9%83%A8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作成日：2026-10-19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岐阜県多治見市大薮町</t>
        </is>
      </c>
    </row>
    <row r="6">
      <c r="B6" s="3" t="inlineStr">
        <is>
          <t>座標</t>
        </is>
      </c>
      <c r="C6" t="inlineStr">
        <is>
          <t>35.38001, 137.06507</t>
        </is>
      </c>
    </row>
    <row r="7">
      <c r="B7" s="3" t="inlineStr">
        <is>
          <t>送配電エリア</t>
        </is>
      </c>
      <c r="C7" t="inlineStr">
        <is>
          <t>中部エリア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18-COUNTIF('岐阜県多治見市大薮町'!$E$3:$E$20,"要確認")</f>
        <v/>
      </c>
      <c r="E15" s="9">
        <f>COUNTIF('岐阜県多治見市大薮町'!$E$3:$E$20,"要確認")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岐阜県多治見市大薮町（地番未確定）</t>
        </is>
      </c>
      <c r="F3" s="16" t="inlineStr">
        <is>
          <t>https://www.google.com/maps?q=35.38001,137.06507</t>
        </is>
      </c>
      <c r="G3" s="8" t="inlineStr">
        <is>
          <t>住所→座標は代表点（数百m誤差）。緯度経度があればそれを優先。住居表示と地番は要照合。 / 国土地理院 逆ジオコーダで町名まで取得。地番は登記・公図で要確認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35°22'48.0"N 137°3'54.3"E（35.38001, 137.06507）</t>
        </is>
      </c>
      <c r="F4" s="16" t="inlineStr">
        <is>
          <t>https://www.google.com/maps?q=35.38001,137.06507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https://maps.gsi.go.jp/#18/35.38001/137.06507/&amp;base=ort&amp;ls=ort&amp;disp=1&amp;vs=c1g1j0h0k0l0u0t0z0r0s0m0f1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該当なし（洪水 想定最大規模・計画規模とも区域外）</t>
        </is>
      </c>
      <c r="F6" s="16" t="inlineStr">
        <is>
          <t>https://disaportal.gsi.go.jp/hazardmap/maps/index.html?ll=35.38001,137.06507&amp;z=16&amp;ls=flood_l2_kaokutoukai_kagan,0.8%7Cflood_l2_kaokutoukai_hanran,0.8%7Cflood_l2_keizoku,0.8%7Cflood_list,0.8%7Cflood_l1,0.8%7Cflood_list_l2,0.75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重ねるハザードマップ公開タイル（disaportaldata）で地点判定 2026-10-19。内水は自治体マップで要確認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【該当】土砂災害警戒区域（土石流・イエロー）内。特別警戒区域（レッド）は地点外</t>
        </is>
      </c>
      <c r="F7" s="16" t="inlineStr">
        <is>
          <t>https://disaportal.gsi.go.jp/hazardmap/maps/index.html?ll=35.38001,137.06507&amp;z=16&amp;ls=dosha_kiken_nadare,0.8%7Cdosha_keikai_jisuberi,0.8%7Cdosha_keikai_dosekiryu,0.8%7Cdosha_keikai_kyukeisha,0.8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重ねるハザードマップ公開タイルで地点判定。区域の縁から約6〜12m内側。敷地が区域にどこまで掛かるか要確認（岐阜県 土砂災害警戒区域等マップ）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低い見込み（J-SHIS微地形区分：丘陵、AVS30=356m/s）</t>
        </is>
      </c>
      <c r="F8" s="16" t="inlineStr">
        <is>
          <t>https://disaportal.gsi.go.jp/hazardmap/maps/index.html?ll=35.38001,137.06507&amp;z=16&amp;ls=ekijouka_zenkoku,0.8</t>
        </is>
      </c>
      <c r="G8" s="8" t="inlineStr">
        <is>
          <t>J-SHIS表層地盤＋各都道府県の液状化マップで確認。 / J-SHIS API（250mメッシュ）より。岐阜県液状化マップでも確認推奨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指定なし（市街化区域外。最寄りの市街化区域まで約1.7km）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都市地域(A09, 2018年度)で点内判定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【該当】市街化調整区域</t>
        </is>
      </c>
      <c r="F11" s="16" t="inlineStr">
        <is>
          <t>検索リンク（参考）</t>
        </is>
      </c>
      <c r="G11" s="8" t="inlineStr">
        <is>
          <t>同上。市街化調整区域内かを確認。 / 国土数値情報 都市地域(A09, 2018年度)で点内判定。区域境界から約1km内側で判定は安定。多治見市は調整区域に系統用蓄電池の許可基準を定めておらず『設置（建築）できない』と公表（市HP 令和8年5月15日お知らせ）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無指定（市街化調整区域）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調整区域のため用途地域の指定なし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可能性高い（地点の東側一帯が水田）</t>
        </is>
      </c>
      <c r="F13" s="16" t="inlineStr">
        <is>
          <t>https://www.google.com/maps?q=35.38001,137.06507</t>
        </is>
      </c>
      <c r="G13" s="8" t="inlineStr">
        <is>
          <t>地点はGoogleマップ航空写真（座標）で確認。農地区分はeMAFF農地ナビ（住所/地番検索）、種別(1/2/3種)は農業委員会へ照会。 / GSI航空写真で目視。地目・農振農用地区域かは eMAFF農地ナビ／多治見市農業委員会で要確認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地点の西側が山林に接する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 / GSI航空写真で目視。地域森林計画対象民有林・保安林かは岐阜県森林GISで要確認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7" t="inlineStr">
        <is>
          <t>要確認</t>
        </is>
      </c>
      <c r="F15" s="16" t="inlineStr">
        <is>
          <t>検索リンク（要確認）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20" t="inlineStr"/>
      <c r="B5" s="21" t="n"/>
      <c r="C5" s="20" t="inlineStr">
        <is>
          <t>3</t>
        </is>
      </c>
      <c r="D5" s="22" t="inlineStr">
        <is>
          <t>都市計画法</t>
        </is>
      </c>
      <c r="E5" s="22" t="inlineStr">
        <is>
          <t>開発行為許可</t>
        </is>
      </c>
      <c r="F5" s="22" t="inlineStr">
        <is>
          <t>都計区域外1ha以上の開発か</t>
        </is>
      </c>
      <c r="G5" s="20" t="inlineStr">
        <is>
          <t>要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1" t="inlineStr">
        <is>
          <t>市街化調整区域。多治見市は調整区域での系統用蓄電池の許可基準なし＝原則設置不可（市HP）。開発指導課へ要事前相談</t>
        </is>
      </c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20" t="inlineStr"/>
      <c r="B8" s="21" t="n"/>
      <c r="C8" s="20" t="inlineStr">
        <is>
          <t>6</t>
        </is>
      </c>
      <c r="D8" s="22" t="inlineStr">
        <is>
          <t>市町村土地開発事業指導要綱</t>
        </is>
      </c>
      <c r="E8" s="22" t="inlineStr">
        <is>
          <t>指導要綱手続</t>
        </is>
      </c>
      <c r="F8" s="22" t="inlineStr">
        <is>
          <t>市町村条例の有無</t>
        </is>
      </c>
      <c r="G8" s="20" t="inlineStr">
        <is>
          <t>要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>
        <is>
          <t>多治見市土地開発指導要綱（1,000㎡以上 設計協議、3,000㎡以上 事前協議）</t>
        </is>
      </c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3" t="inlineStr">
        <is>
          <t>★</t>
        </is>
      </c>
      <c r="B10" s="24" t="n"/>
      <c r="C10" s="23" t="inlineStr">
        <is>
          <t>8</t>
        </is>
      </c>
      <c r="D10" s="25" t="inlineStr">
        <is>
          <t>特定都市河川浸水被害対策法</t>
        </is>
      </c>
      <c r="E10" s="25" t="inlineStr">
        <is>
          <t>雨水浸透阻害行為許可</t>
        </is>
      </c>
      <c r="F10" s="25" t="inlineStr">
        <is>
          <t>事前相談→許可→届出→完了検査</t>
        </is>
      </c>
      <c r="G10" s="23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20" t="inlineStr"/>
      <c r="B18" s="21" t="n"/>
      <c r="C18" s="20" t="inlineStr">
        <is>
          <t>16</t>
        </is>
      </c>
      <c r="D18" s="22" t="inlineStr">
        <is>
          <t>土砂災害危険箇所</t>
        </is>
      </c>
      <c r="E18" s="22" t="inlineStr">
        <is>
          <t>危険箇所区域確認</t>
        </is>
      </c>
      <c r="F18" s="22" t="inlineStr">
        <is>
          <t>各危険箇所区域内か</t>
        </is>
      </c>
      <c r="G18" s="20" t="inlineStr">
        <is>
          <t>要</t>
        </is>
      </c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>
        <is>
          <t>土砂災害警戒区域（土石流）に該当（重ねるハザードマップで地点判定）</t>
        </is>
      </c>
    </row>
    <row r="19" ht="28" customHeight="1">
      <c r="A19" s="23" t="inlineStr">
        <is>
          <t>★</t>
        </is>
      </c>
      <c r="B19" s="24" t="n"/>
      <c r="C19" s="23" t="inlineStr">
        <is>
          <t>17</t>
        </is>
      </c>
      <c r="D19" s="25" t="inlineStr">
        <is>
          <t>道路法①</t>
        </is>
      </c>
      <c r="E19" s="25" t="inlineStr">
        <is>
          <t>道路使用/占用許可・工事施工承認</t>
        </is>
      </c>
      <c r="F19" s="25" t="inlineStr">
        <is>
          <t>道路使用・占用の有無</t>
        </is>
      </c>
      <c r="G19" s="23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</row>
    <row r="20" ht="28" customHeight="1">
      <c r="A20" s="23" t="inlineStr">
        <is>
          <t>★</t>
        </is>
      </c>
      <c r="B20" s="24" t="n"/>
      <c r="C20" s="23" t="inlineStr">
        <is>
          <t>18</t>
        </is>
      </c>
      <c r="D20" s="25" t="inlineStr">
        <is>
          <t>道路法②</t>
        </is>
      </c>
      <c r="E20" s="25" t="inlineStr">
        <is>
          <t>特殊車両通行許可</t>
        </is>
      </c>
      <c r="F20" s="25" t="inlineStr">
        <is>
          <t>制限値超の大型車両通行（輸送確認と連動）</t>
        </is>
      </c>
      <c r="G20" s="23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3" t="inlineStr">
        <is>
          <t>★</t>
        </is>
      </c>
      <c r="B26" s="24" t="n"/>
      <c r="C26" s="23" t="inlineStr">
        <is>
          <t>24</t>
        </is>
      </c>
      <c r="D26" s="25" t="inlineStr">
        <is>
          <t>県生活環境保全条例</t>
        </is>
      </c>
      <c r="E26" s="25" t="inlineStr">
        <is>
          <t>区域外騒音指定作業/施設届出</t>
        </is>
      </c>
      <c r="F26" s="25" t="inlineStr">
        <is>
          <t>県条例の規制地域内か</t>
        </is>
      </c>
      <c r="G26" s="23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</row>
    <row r="27" ht="28" customHeight="1">
      <c r="A27" s="23" t="inlineStr">
        <is>
          <t>★</t>
        </is>
      </c>
      <c r="B27" s="24" t="n"/>
      <c r="C27" s="23" t="inlineStr">
        <is>
          <t>25</t>
        </is>
      </c>
      <c r="D27" s="25" t="inlineStr">
        <is>
          <t>建設リサイクル法</t>
        </is>
      </c>
      <c r="E27" s="25" t="inlineStr">
        <is>
          <t>対象建設工事届出</t>
        </is>
      </c>
      <c r="F27" s="25" t="inlineStr">
        <is>
          <t>対象工事・資材か（着工7日前）</t>
        </is>
      </c>
      <c r="G27" s="23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>
        <is>
          <t>要</t>
        </is>
      </c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>
        <is>
          <t>周辺が水田。地目が農地なら転用許可要（調整区域）</t>
        </is>
      </c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3" t="inlineStr">
        <is>
          <t>★</t>
        </is>
      </c>
      <c r="B39" s="24" t="n"/>
      <c r="C39" s="23" t="inlineStr">
        <is>
          <t>37</t>
        </is>
      </c>
      <c r="D39" s="25" t="inlineStr">
        <is>
          <t>消防法</t>
        </is>
      </c>
      <c r="E39" s="25" t="inlineStr">
        <is>
          <t>電気/危険物設備の各届出・許可</t>
        </is>
      </c>
      <c r="F39" s="25" t="inlineStr">
        <is>
          <t>蓄電所/発電所の消防条例手続</t>
        </is>
      </c>
      <c r="G39" s="23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  <c r="O39" s="24" t="inlineStr"/>
      <c r="P39" s="24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納入先：岐阜県多治見市大薮町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大針変電所 空容量33MW（1.24km）／可児 38MW（3.5km）／久々利 25MW（4.3km）</t>
        </is>
      </c>
      <c r="E4" s="28" t="inlineStr">
        <is>
          <t>良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リポジトリの変電所DB（中部 公表資料）より。最新は中部電力PG空き容量マップで確認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77kV変電所から高圧(6.6kV)配電で連系の想定</t>
        </is>
      </c>
      <c r="E6" s="28" t="inlineStr">
        <is>
          <t>良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N-1電制不可・出力制御あり（大針/可児/久々利とも）</t>
        </is>
      </c>
      <c r="E7" s="29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27" t="inlineStr">
        <is>
          <t>市街化調整区域＝多治見市は系統用蓄電池の許可基準なし</t>
        </is>
      </c>
      <c r="E10" s="29" t="inlineStr">
        <is>
          <t>リスク</t>
        </is>
      </c>
      <c r="F10" s="8" t="inlineStr"/>
      <c r="G10" s="8" t="inlineStr">
        <is>
          <t>不要=良／申請中=注意／必要・未着手=リスク。許認可No.35/36と連動。 / 事業化の前提が成り立たない可能性。開発指導課へ最優先で照会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2026-10-19T05:04:58Z</dcterms:created>
  <dcterms:modified xmlns:dcterms="http://purl.org/dc/terms/" xmlns:xsi="http://www.w3.org/2001/XMLSchema-instance" xsi:type="dcterms:W3CDTF">2026-10-19T05:04:58Z</dcterms:modified>
</cp:coreProperties>
</file>