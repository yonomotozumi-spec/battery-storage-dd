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サマリ" sheetId="1" state="visible" r:id="rId3"/>
    <sheet name="②リスク一覧" sheetId="2" state="visible" r:id="rId4"/>
    <sheet name="③台帳収録済み" sheetId="3" state="visible" r:id="rId5"/>
    <sheet name="④制定前の動き" sheetId="4" state="visible" r:id="rId6"/>
    <sheet name="⑤権者調査状況" sheetId="5" state="visible" r:id="rId7"/>
  </sheets>
  <definedNames>
    <definedName function="false" hidden="true" localSheetId="1" name="_xlnm._FilterDatabase" vbProcedure="false">②リスク一覧!$A$1:$K$13</definedName>
    <definedName function="false" hidden="true" localSheetId="2" name="_xlnm._FilterDatabase" vbProcedure="false">③台帳収録済み!$A$1:$M$31</definedName>
    <definedName function="false" hidden="true" localSheetId="3" name="_xlnm._FilterDatabase" vbProcedure="false">④制定前の動き!$A$1:$K$9</definedName>
    <definedName function="false" hidden="true" localSheetId="4" name="_xlnm._FilterDatabase" vbProcedure="false">⑤権者調査状況!$A$1:$I$152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<sst xmlns="http://schemas.openxmlformats.org/spreadsheetml/2006/main" count="1671" uniqueCount="805">
  <si>
    <t xml:space="preserve">蓄電池 条例対応リスク確認 結果サマリ</t>
  </si>
  <si>
    <r>
      <rPr>
        <sz val="9"/>
        <color rgb="FF666666"/>
        <rFont val="WenQuanYi Zen Hei"/>
        <family val="2"/>
      </rPr>
      <t xml:space="preserve">実施日</t>
    </r>
    <r>
      <rPr>
        <sz val="9"/>
        <color rgb="FF666666"/>
        <rFont val="Meiryo"/>
        <family val="0"/>
        <charset val="1"/>
      </rPr>
      <t xml:space="preserve">: 2026-08-24 </t>
    </r>
    <r>
      <rPr>
        <sz val="9"/>
        <color rgb="FF666666"/>
        <rFont val="WenQuanYi Zen Hei"/>
        <family val="2"/>
      </rPr>
      <t xml:space="preserve">／ 手順</t>
    </r>
    <r>
      <rPr>
        <sz val="9"/>
        <color rgb="FF666666"/>
        <rFont val="Meiryo"/>
        <family val="0"/>
        <charset val="1"/>
      </rPr>
      <t xml:space="preserve">: docs/ordinance_watch_</t>
    </r>
    <r>
      <rPr>
        <sz val="9"/>
        <color rgb="FF666666"/>
        <rFont val="WenQuanYi Zen Hei"/>
        <family val="2"/>
      </rPr>
      <t xml:space="preserve">運用手順</t>
    </r>
    <r>
      <rPr>
        <sz val="9"/>
        <color rgb="FF666666"/>
        <rFont val="Meiryo"/>
        <family val="0"/>
        <charset val="1"/>
      </rPr>
      <t xml:space="preserve">.md</t>
    </r>
    <r>
      <rPr>
        <sz val="9"/>
        <color rgb="FF666666"/>
        <rFont val="WenQuanYi Zen Hei"/>
        <family val="2"/>
      </rPr>
      <t xml:space="preserve">（</t>
    </r>
    <r>
      <rPr>
        <sz val="9"/>
        <color rgb="FF666666"/>
        <rFont val="Meiryo"/>
        <family val="0"/>
        <charset val="1"/>
      </rPr>
      <t xml:space="preserve">3</t>
    </r>
    <r>
      <rPr>
        <sz val="9"/>
        <color rgb="FF666666"/>
        <rFont val="WenQuanYi Zen Hei"/>
        <family val="2"/>
      </rPr>
      <t xml:space="preserve">層監視）に準拠 ／ 台帳への新規記入は今回見送り（本ファイルで報告）</t>
    </r>
  </si>
  <si>
    <t xml:space="preserve">実施内容</t>
  </si>
  <si>
    <t xml:space="preserve">層① 既知ページの変更監視</t>
  </si>
  <si>
    <r>
      <rPr>
        <sz val="10"/>
        <rFont val="WenQuanYi Zen Hei"/>
        <family val="2"/>
      </rPr>
      <t xml:space="preserve">監視</t>
    </r>
    <r>
      <rPr>
        <sz val="10"/>
        <rFont val="Meiryo"/>
        <family val="0"/>
        <charset val="1"/>
      </rPr>
      <t xml:space="preserve">33</t>
    </r>
    <r>
      <rPr>
        <sz val="10"/>
        <rFont val="WenQuanYi Zen Hei"/>
        <family val="2"/>
      </rPr>
      <t xml:space="preserve">件を取得・前回ハッシュと比較。変更</t>
    </r>
    <r>
      <rPr>
        <sz val="10"/>
        <rFont val="Meiryo"/>
        <family val="0"/>
        <charset val="1"/>
      </rPr>
      <t xml:space="preserve">0</t>
    </r>
    <r>
      <rPr>
        <sz val="10"/>
        <rFont val="WenQuanYi Zen Hei"/>
        <family val="2"/>
      </rPr>
      <t xml:space="preserve">・消失</t>
    </r>
    <r>
      <rPr>
        <sz val="10"/>
        <rFont val="Meiryo"/>
        <family val="0"/>
        <charset val="1"/>
      </rPr>
      <t xml:space="preserve">0</t>
    </r>
    <r>
      <rPr>
        <sz val="10"/>
        <rFont val="WenQuanYi Zen Hei"/>
        <family val="2"/>
      </rPr>
      <t xml:space="preserve">。熊本市ページの取得失敗は一時的な</t>
    </r>
    <r>
      <rPr>
        <sz val="10"/>
        <rFont val="Meiryo"/>
        <family val="0"/>
        <charset val="1"/>
      </rPr>
      <t xml:space="preserve">bot</t>
    </r>
    <r>
      <rPr>
        <sz val="10"/>
        <rFont val="WenQuanYi Zen Hei"/>
        <family val="2"/>
      </rPr>
      <t xml:space="preserve">拒否で、手動確認によりページ存置・内容変化なしを確認。</t>
    </r>
  </si>
  <si>
    <r>
      <rPr>
        <b val="true"/>
        <sz val="10"/>
        <rFont val="WenQuanYi Zen Hei"/>
        <family val="2"/>
      </rPr>
      <t xml:space="preserve">層② </t>
    </r>
    <r>
      <rPr>
        <b val="true"/>
        <sz val="10"/>
        <rFont val="Meiryo"/>
        <family val="0"/>
        <charset val="1"/>
      </rPr>
      <t xml:space="preserve">(a) </t>
    </r>
    <r>
      <rPr>
        <b val="true"/>
        <sz val="10"/>
        <rFont val="WenQuanYi Zen Hei"/>
        <family val="2"/>
      </rPr>
      <t xml:space="preserve">新着検索</t>
    </r>
  </si>
  <si>
    <r>
      <rPr>
        <sz val="10"/>
        <rFont val="WenQuanYi Zen Hei"/>
        <family val="2"/>
      </rPr>
      <t xml:space="preserve">運用手順の定型</t>
    </r>
    <r>
      <rPr>
        <sz val="10"/>
        <rFont val="Meiryo"/>
        <family val="0"/>
        <charset val="1"/>
      </rPr>
      <t xml:space="preserve">9</t>
    </r>
    <r>
      <rPr>
        <sz val="10"/>
        <rFont val="WenQuanYi Zen Hei"/>
        <family val="2"/>
      </rPr>
      <t xml:space="preserve">クエリ＋補助検索を実施。新規発見</t>
    </r>
    <r>
      <rPr>
        <sz val="10"/>
        <rFont val="Meiryo"/>
        <family val="0"/>
        <charset val="1"/>
      </rPr>
      <t xml:space="preserve">: </t>
    </r>
    <r>
      <rPr>
        <sz val="10"/>
        <rFont val="WenQuanYi Zen Hei"/>
        <family val="2"/>
      </rPr>
      <t xml:space="preserve">兵庫県丹波市の開発指導（一次情報確認済み）。国レベル</t>
    </r>
    <r>
      <rPr>
        <sz val="10"/>
        <rFont val="Meiryo"/>
        <family val="0"/>
        <charset val="1"/>
      </rPr>
      <t xml:space="preserve">: </t>
    </r>
    <r>
      <rPr>
        <sz val="10"/>
        <rFont val="WenQuanYi Zen Hei"/>
        <family val="2"/>
      </rPr>
      <t xml:space="preserve">接続検討の件数上限が</t>
    </r>
    <r>
      <rPr>
        <sz val="10"/>
        <rFont val="Meiryo"/>
        <family val="0"/>
        <charset val="1"/>
      </rPr>
      <t xml:space="preserve">2026-08-01</t>
    </r>
    <r>
      <rPr>
        <sz val="10"/>
        <rFont val="WenQuanYi Zen Hei"/>
        <family val="2"/>
      </rPr>
      <t xml:space="preserve">運用開始。</t>
    </r>
  </si>
  <si>
    <r>
      <rPr>
        <b val="true"/>
        <sz val="10"/>
        <rFont val="WenQuanYi Zen Hei"/>
        <family val="2"/>
      </rPr>
      <t xml:space="preserve">層② </t>
    </r>
    <r>
      <rPr>
        <b val="true"/>
        <sz val="10"/>
        <rFont val="Meiryo"/>
        <family val="0"/>
        <charset val="1"/>
      </rPr>
      <t xml:space="preserve">(b) </t>
    </r>
    <r>
      <rPr>
        <b val="true"/>
        <sz val="10"/>
        <rFont val="WenQuanYi Zen Hei"/>
        <family val="2"/>
      </rPr>
      <t xml:space="preserve">権者ローテーション</t>
    </r>
  </si>
  <si>
    <r>
      <rPr>
        <sz val="10"/>
        <rFont val="WenQuanYi Zen Hei"/>
        <family val="2"/>
      </rPr>
      <t xml:space="preserve">今週分グループ</t>
    </r>
    <r>
      <rPr>
        <sz val="10"/>
        <rFont val="Meiryo"/>
        <family val="0"/>
        <charset val="1"/>
      </rPr>
      <t xml:space="preserve">0</t>
    </r>
    <r>
      <rPr>
        <sz val="10"/>
        <rFont val="WenQuanYi Zen Hei"/>
        <family val="2"/>
      </rPr>
      <t xml:space="preserve">（</t>
    </r>
    <r>
      <rPr>
        <sz val="10"/>
        <rFont val="Meiryo"/>
        <family val="0"/>
        <charset val="1"/>
      </rPr>
      <t xml:space="preserve">ISO</t>
    </r>
    <r>
      <rPr>
        <sz val="10"/>
        <rFont val="WenQuanYi Zen Hei"/>
        <family val="2"/>
      </rPr>
      <t xml:space="preserve">週</t>
    </r>
    <r>
      <rPr>
        <sz val="10"/>
        <rFont val="Meiryo"/>
        <family val="0"/>
        <charset val="1"/>
      </rPr>
      <t xml:space="preserve">35 mod 5</t>
    </r>
    <r>
      <rPr>
        <sz val="10"/>
        <rFont val="WenQuanYi Zen Hei"/>
        <family val="2"/>
      </rPr>
      <t xml:space="preserve">＝</t>
    </r>
    <r>
      <rPr>
        <sz val="10"/>
        <rFont val="Meiryo"/>
        <family val="0"/>
        <charset val="1"/>
      </rPr>
      <t xml:space="preserve">0</t>
    </r>
    <r>
      <rPr>
        <sz val="10"/>
        <rFont val="WenQuanYi Zen Hei"/>
        <family val="2"/>
      </rPr>
      <t xml:space="preserve">）の</t>
    </r>
    <r>
      <rPr>
        <sz val="10"/>
        <rFont val="Meiryo"/>
        <family val="0"/>
        <charset val="1"/>
      </rPr>
      <t xml:space="preserve">31</t>
    </r>
    <r>
      <rPr>
        <sz val="10"/>
        <rFont val="WenQuanYi Zen Hei"/>
        <family val="2"/>
      </rPr>
      <t xml:space="preserve">権者を再巡回。新たな公表・変化なし。公表済みの徳島県・千葉市・高崎市・大分市のページも更新なし。</t>
    </r>
  </si>
  <si>
    <t xml:space="preserve">層③ 案件照合</t>
  </si>
  <si>
    <r>
      <rPr>
        <sz val="10"/>
        <rFont val="Meiryo"/>
        <family val="0"/>
        <charset val="1"/>
      </rPr>
      <t xml:space="preserve">check</t>
    </r>
    <r>
      <rPr>
        <sz val="10"/>
        <rFont val="WenQuanYi Zen Hei"/>
        <family val="2"/>
      </rPr>
      <t xml:space="preserve">コマンドの動作確認済み。個別案件の所在自治体を指定して照合可能（例</t>
    </r>
    <r>
      <rPr>
        <sz val="10"/>
        <rFont val="Meiryo"/>
        <family val="0"/>
        <charset val="1"/>
      </rPr>
      <t xml:space="preserve">: python scripts/ordinance_watch.py check --pref </t>
    </r>
    <r>
      <rPr>
        <sz val="10"/>
        <rFont val="WenQuanYi Zen Hei"/>
        <family val="2"/>
      </rPr>
      <t xml:space="preserve">北海道 </t>
    </r>
    <r>
      <rPr>
        <sz val="10"/>
        <rFont val="Meiryo"/>
        <family val="0"/>
        <charset val="1"/>
      </rPr>
      <t xml:space="preserve">--muni </t>
    </r>
    <r>
      <rPr>
        <sz val="10"/>
        <rFont val="WenQuanYi Zen Hei"/>
        <family val="2"/>
      </rPr>
      <t xml:space="preserve">北斗市 → 台帳ヒットなし・共通チェックリスト適用）。</t>
    </r>
  </si>
  <si>
    <r>
      <rPr>
        <b val="true"/>
        <sz val="10"/>
        <rFont val="WenQuanYi Zen Hei"/>
        <family val="2"/>
      </rPr>
      <t xml:space="preserve">リスク件数（「②リスク一覧」の重要度別。</t>
    </r>
    <r>
      <rPr>
        <b val="true"/>
        <sz val="10"/>
        <rFont val="Meiryo"/>
        <family val="0"/>
        <charset val="1"/>
      </rPr>
      <t xml:space="preserve">COUNTIF</t>
    </r>
    <r>
      <rPr>
        <b val="true"/>
        <sz val="10"/>
        <rFont val="WenQuanYi Zen Hei"/>
        <family val="2"/>
      </rPr>
      <t xml:space="preserve">で連動）</t>
    </r>
  </si>
  <si>
    <t xml:space="preserve">高</t>
  </si>
  <si>
    <t xml:space="preserve">中</t>
  </si>
  <si>
    <t xml:space="preserve">低</t>
  </si>
  <si>
    <t xml:space="preserve">情報</t>
  </si>
  <si>
    <t xml:space="preserve">台帳収録済み規制（③シート）</t>
  </si>
  <si>
    <t xml:space="preserve">制定前の動き（④シート）</t>
  </si>
  <si>
    <t xml:space="preserve">開発許可権者の調査済み数（⑤シート）</t>
  </si>
  <si>
    <t xml:space="preserve">No</t>
  </si>
  <si>
    <t xml:space="preserve">重要度</t>
  </si>
  <si>
    <t xml:space="preserve">区分</t>
  </si>
  <si>
    <t xml:space="preserve">対象・主体</t>
  </si>
  <si>
    <t xml:space="preserve">リスク内容</t>
  </si>
  <si>
    <t xml:space="preserve">案件への影響</t>
  </si>
  <si>
    <t xml:space="preserve">状態</t>
  </si>
  <si>
    <t xml:space="preserve">期日</t>
  </si>
  <si>
    <t xml:space="preserve">推奨アクション</t>
  </si>
  <si>
    <r>
      <rPr>
        <b val="true"/>
        <sz val="10"/>
        <color rgb="FFFFFFFF"/>
        <rFont val="WenQuanYi Zen Hei"/>
        <family val="2"/>
      </rPr>
      <t xml:space="preserve">出典</t>
    </r>
    <r>
      <rPr>
        <b val="true"/>
        <sz val="10"/>
        <color rgb="FFFFFFFF"/>
        <rFont val="Meiryo"/>
        <family val="0"/>
        <charset val="1"/>
      </rPr>
      <t xml:space="preserve">URL</t>
    </r>
  </si>
  <si>
    <t xml:space="preserve">確認日</t>
  </si>
  <si>
    <t xml:space="preserve">自治体・新規</t>
  </si>
  <si>
    <t xml:space="preserve">兵庫県丹波市</t>
  </si>
  <si>
    <r>
      <rPr>
        <sz val="10"/>
        <rFont val="WenQuanYi Zen Hei"/>
        <family val="2"/>
      </rPr>
      <t xml:space="preserve">系統用蓄電池の取扱いを公表（</t>
    </r>
    <r>
      <rPr>
        <sz val="10"/>
        <rFont val="Meiryo"/>
        <family val="0"/>
        <charset val="1"/>
      </rPr>
      <t xml:space="preserve">2026-04-01</t>
    </r>
    <r>
      <rPr>
        <sz val="10"/>
        <rFont val="WenQuanYi Zen Hei"/>
        <family val="2"/>
      </rPr>
      <t xml:space="preserve">）。危険物含有で第一種特定工作物に該当するもの・コンテナ積重ねで建築物相当のものを対象に、丹波市開発指導要綱＋緑条例に基づく開発指導を実施。都計法</t>
    </r>
    <r>
      <rPr>
        <sz val="10"/>
        <rFont val="Meiryo"/>
        <family val="0"/>
        <charset val="1"/>
      </rPr>
      <t xml:space="preserve">29</t>
    </r>
    <r>
      <rPr>
        <sz val="10"/>
        <rFont val="WenQuanYi Zen Hei"/>
        <family val="2"/>
      </rPr>
      <t xml:space="preserve">条許可対象（</t>
    </r>
    <r>
      <rPr>
        <sz val="10"/>
        <rFont val="Meiryo"/>
        <family val="0"/>
        <charset val="1"/>
      </rPr>
      <t xml:space="preserve">3,000</t>
    </r>
    <r>
      <rPr>
        <sz val="10"/>
        <rFont val="WenQuanYi Zen Hei"/>
        <family val="2"/>
      </rPr>
      <t xml:space="preserve">㎡以上）は要綱＋緑条例、第一種特定工作物該当は敷地</t>
    </r>
    <r>
      <rPr>
        <sz val="10"/>
        <rFont val="Meiryo"/>
        <family val="0"/>
        <charset val="1"/>
      </rPr>
      <t xml:space="preserve">1,000</t>
    </r>
    <r>
      <rPr>
        <sz val="10"/>
        <rFont val="WenQuanYi Zen Hei"/>
        <family val="2"/>
      </rPr>
      <t xml:space="preserve">㎡以上で要綱・</t>
    </r>
    <r>
      <rPr>
        <sz val="10"/>
        <rFont val="Meiryo"/>
        <family val="0"/>
        <charset val="1"/>
      </rPr>
      <t xml:space="preserve">500</t>
    </r>
    <r>
      <rPr>
        <sz val="10"/>
        <rFont val="WenQuanYi Zen Hei"/>
        <family val="2"/>
      </rPr>
      <t xml:space="preserve">㎡以上で緑条例、非該当でも</t>
    </r>
    <r>
      <rPr>
        <sz val="10"/>
        <rFont val="Meiryo"/>
        <family val="0"/>
        <charset val="1"/>
      </rPr>
      <t xml:space="preserve">2,000</t>
    </r>
    <r>
      <rPr>
        <sz val="10"/>
        <rFont val="WenQuanYi Zen Hei"/>
        <family val="2"/>
      </rPr>
      <t xml:space="preserve">㎡以上で要綱手続き。</t>
    </r>
  </si>
  <si>
    <r>
      <rPr>
        <sz val="10"/>
        <rFont val="WenQuanYi Zen Hei"/>
        <family val="2"/>
      </rPr>
      <t xml:space="preserve">丹波市内の案件は面積閾値が小さく（</t>
    </r>
    <r>
      <rPr>
        <sz val="10"/>
        <rFont val="Meiryo"/>
        <family val="0"/>
        <charset val="1"/>
      </rPr>
      <t xml:space="preserve">500</t>
    </r>
    <r>
      <rPr>
        <sz val="10"/>
        <rFont val="WenQuanYi Zen Hei"/>
        <family val="2"/>
      </rPr>
      <t xml:space="preserve">㎡〜）ほぼ確実に事前手続きが発生。兵庫県内は県・神戸市・加古川市・三田市に続く</t>
    </r>
    <r>
      <rPr>
        <sz val="10"/>
        <rFont val="Meiryo"/>
        <family val="0"/>
        <charset val="1"/>
      </rPr>
      <t xml:space="preserve">5</t>
    </r>
    <r>
      <rPr>
        <sz val="10"/>
        <rFont val="WenQuanYi Zen Hei"/>
        <family val="2"/>
      </rPr>
      <t xml:space="preserve">例目で、県内他市への波及にも注意。</t>
    </r>
  </si>
  <si>
    <t xml:space="preserve">施行済み</t>
  </si>
  <si>
    <r>
      <rPr>
        <sz val="10"/>
        <rFont val="WenQuanYi Zen Hei"/>
        <family val="2"/>
      </rPr>
      <t xml:space="preserve">台帳（</t>
    </r>
    <r>
      <rPr>
        <sz val="10"/>
        <rFont val="Meiryo"/>
        <family val="0"/>
        <charset val="1"/>
      </rPr>
      <t xml:space="preserve">ordinance_registry.json</t>
    </r>
    <r>
      <rPr>
        <sz val="10"/>
        <rFont val="WenQuanYi Zen Hei"/>
        <family val="2"/>
      </rPr>
      <t xml:space="preserve">）への収録を推奨（今回は見送り）。丹波市案件があれば都市住宅課へ事前照会。</t>
    </r>
  </si>
  <si>
    <t xml:space="preserve">https://www.city.tamba.lg.jp/soshiki/toshijutakuka/gyomuannai/1/12139.html</t>
  </si>
  <si>
    <t xml:space="preserve">2026-08-24</t>
  </si>
  <si>
    <t xml:space="preserve">国・系統</t>
  </si>
  <si>
    <t xml:space="preserve">資源エネルギー庁／一般送配電事業者</t>
  </si>
  <si>
    <r>
      <rPr>
        <sz val="10"/>
        <rFont val="WenQuanYi Zen Hei"/>
        <family val="2"/>
      </rPr>
      <t xml:space="preserve">接続検討申込みに事業者ごとの件数上限を設定（</t>
    </r>
    <r>
      <rPr>
        <sz val="10"/>
        <rFont val="Meiryo"/>
        <family val="0"/>
        <charset val="1"/>
      </rPr>
      <t xml:space="preserve">2026-08-01</t>
    </r>
    <r>
      <rPr>
        <sz val="10"/>
        <rFont val="WenQuanYi Zen Hei"/>
        <family val="2"/>
      </rPr>
      <t xml:space="preserve">運用開始）。同一送配電エリアの同時申込上限の試算値</t>
    </r>
    <r>
      <rPr>
        <sz val="10"/>
        <rFont val="Meiryo"/>
        <family val="0"/>
        <charset val="1"/>
      </rPr>
      <t xml:space="preserve">: </t>
    </r>
    <r>
      <rPr>
        <sz val="10"/>
        <rFont val="WenQuanYi Zen Hei"/>
        <family val="2"/>
      </rPr>
      <t xml:space="preserve">東京</t>
    </r>
    <r>
      <rPr>
        <sz val="10"/>
        <rFont val="Meiryo"/>
        <family val="0"/>
        <charset val="1"/>
      </rPr>
      <t xml:space="preserve">11</t>
    </r>
    <r>
      <rPr>
        <sz val="10"/>
        <rFont val="WenQuanYi Zen Hei"/>
        <family val="2"/>
      </rPr>
      <t xml:space="preserve">件・関西</t>
    </r>
    <r>
      <rPr>
        <sz val="10"/>
        <rFont val="Meiryo"/>
        <family val="0"/>
        <charset val="1"/>
      </rPr>
      <t xml:space="preserve">10</t>
    </r>
    <r>
      <rPr>
        <sz val="10"/>
        <rFont val="WenQuanYi Zen Hei"/>
        <family val="2"/>
      </rPr>
      <t xml:space="preserve">件・九州</t>
    </r>
    <r>
      <rPr>
        <sz val="10"/>
        <rFont val="Meiryo"/>
        <family val="0"/>
        <charset val="1"/>
      </rPr>
      <t xml:space="preserve">/</t>
    </r>
    <r>
      <rPr>
        <sz val="10"/>
        <rFont val="WenQuanYi Zen Hei"/>
        <family val="2"/>
      </rPr>
      <t xml:space="preserve">北陸</t>
    </r>
    <r>
      <rPr>
        <sz val="10"/>
        <rFont val="Meiryo"/>
        <family val="0"/>
        <charset val="1"/>
      </rPr>
      <t xml:space="preserve">8</t>
    </r>
    <r>
      <rPr>
        <sz val="10"/>
        <rFont val="WenQuanYi Zen Hei"/>
        <family val="2"/>
      </rPr>
      <t xml:space="preserve">件・東北</t>
    </r>
    <r>
      <rPr>
        <sz val="10"/>
        <rFont val="Meiryo"/>
        <family val="0"/>
        <charset val="1"/>
      </rPr>
      <t xml:space="preserve">6</t>
    </r>
    <r>
      <rPr>
        <sz val="10"/>
        <rFont val="WenQuanYi Zen Hei"/>
        <family val="2"/>
      </rPr>
      <t xml:space="preserve">件・その他</t>
    </r>
    <r>
      <rPr>
        <sz val="10"/>
        <rFont val="Meiryo"/>
        <family val="0"/>
        <charset val="1"/>
      </rPr>
      <t xml:space="preserve">5</t>
    </r>
    <r>
      <rPr>
        <sz val="10"/>
        <rFont val="WenQuanYi Zen Hei"/>
        <family val="2"/>
      </rPr>
      <t xml:space="preserve">件（沖縄除く）。</t>
    </r>
    <r>
      <rPr>
        <sz val="10"/>
        <rFont val="Meiryo"/>
        <family val="0"/>
        <charset val="1"/>
      </rPr>
      <t xml:space="preserve">7/31</t>
    </r>
    <r>
      <rPr>
        <sz val="10"/>
        <rFont val="WenQuanYi Zen Hei"/>
        <family val="2"/>
      </rPr>
      <t xml:space="preserve">までの受付済み案件は従来どおり回答。</t>
    </r>
  </si>
  <si>
    <t xml:space="preserve">複数地点の並行検討（変電所スコアリング上位への一斉申込）戦略に直撃。エリアごとの申込枠の管理・優先順位付けが必須になる。</t>
  </si>
  <si>
    <t xml:space="preserve">2026-08-01</t>
  </si>
  <si>
    <t xml:space="preserve">接続検討の申込済み件数をエリア別に棚卸しし、上限枠の残数を管理。優先度は変電所スコアリングで決定。</t>
  </si>
  <si>
    <t xml:space="preserve">https://www.meti.go.jp/shingikai/enecho/denryoku_gas/saisei_kano/smart_power_grid_wg/pdf/011_02_00.pdf</t>
  </si>
  <si>
    <r>
      <rPr>
        <sz val="10"/>
        <rFont val="WenQuanYi Zen Hei"/>
        <family val="2"/>
      </rPr>
      <t xml:space="preserve">契約申込み時に土地使用権限書類（売買・賃貸借契約の証明等）の提出が義務化される予定（</t>
    </r>
    <r>
      <rPr>
        <sz val="10"/>
        <rFont val="Meiryo"/>
        <family val="0"/>
        <charset val="1"/>
      </rPr>
      <t xml:space="preserve">2026-10-01</t>
    </r>
    <r>
      <rPr>
        <sz val="10"/>
        <rFont val="WenQuanYi Zen Hei"/>
        <family val="2"/>
      </rPr>
      <t xml:space="preserve">〜）。空押さえ抑制策の一環。</t>
    </r>
  </si>
  <si>
    <t xml:space="preserve">土地確保（契約・仮契約）前の契約申込みが不可になる。用地交渉と系統手続きの順序・スケジュールの組み替えが必要。</t>
  </si>
  <si>
    <t xml:space="preserve">予定</t>
  </si>
  <si>
    <t xml:space="preserve">2026-10-01</t>
  </si>
  <si>
    <r>
      <rPr>
        <sz val="10"/>
        <rFont val="Meiryo"/>
        <family val="0"/>
        <charset val="1"/>
      </rPr>
      <t xml:space="preserve">10</t>
    </r>
    <r>
      <rPr>
        <sz val="10"/>
        <rFont val="WenQuanYi Zen Hei"/>
        <family val="2"/>
      </rPr>
      <t xml:space="preserve">月以降に契約申込みを予定する案件は、土地契約書類の準備を前倒しする。</t>
    </r>
  </si>
  <si>
    <t xml:space="preserve">国・保安</t>
  </si>
  <si>
    <t xml:space="preserve">経済産業省</t>
  </si>
  <si>
    <r>
      <rPr>
        <sz val="10"/>
        <rFont val="WenQuanYi Zen Hei"/>
        <family val="2"/>
      </rPr>
      <t xml:space="preserve">蓄電所の保安規程に関する電気事業法施行規則の改正案（パブコメ</t>
    </r>
    <r>
      <rPr>
        <sz val="10"/>
        <rFont val="Meiryo"/>
        <family val="0"/>
        <charset val="1"/>
      </rPr>
      <t xml:space="preserve">2026-01-15</t>
    </r>
    <r>
      <rPr>
        <sz val="10"/>
        <rFont val="WenQuanYi Zen Hei"/>
        <family val="2"/>
      </rPr>
      <t xml:space="preserve">締切・二次情報）。結果公示・省令公布は未確認。あわせて</t>
    </r>
    <r>
      <rPr>
        <sz val="10"/>
        <rFont val="Meiryo"/>
        <family val="0"/>
        <charset val="1"/>
      </rPr>
      <t xml:space="preserve">e-Gov</t>
    </r>
    <r>
      <rPr>
        <sz val="10"/>
        <rFont val="WenQuanYi Zen Hei"/>
        <family val="2"/>
      </rPr>
      <t xml:space="preserve">のパブコメ詳細（案件番号</t>
    </r>
    <r>
      <rPr>
        <sz val="10"/>
        <rFont val="Meiryo"/>
        <family val="0"/>
        <charset val="1"/>
      </rPr>
      <t xml:space="preserve">620126001</t>
    </r>
    <r>
      <rPr>
        <sz val="10"/>
        <rFont val="WenQuanYi Zen Hei"/>
        <family val="2"/>
      </rPr>
      <t xml:space="preserve">「電気事業法施行規則の一部改正等」）がシステムエラーで内容確認不可。</t>
    </r>
  </si>
  <si>
    <t xml:space="preserve">保安規程・技術基準の変更は全案件の電気事業法手続き・設備仕様に直結。</t>
  </si>
  <si>
    <t xml:space="preserve">結果待ち</t>
  </si>
  <si>
    <r>
      <rPr>
        <sz val="10"/>
        <rFont val="WenQuanYi Zen Hei"/>
        <family val="2"/>
      </rPr>
      <t xml:space="preserve">次回スイープで</t>
    </r>
    <r>
      <rPr>
        <sz val="10"/>
        <rFont val="Meiryo"/>
        <family val="0"/>
        <charset val="1"/>
      </rPr>
      <t xml:space="preserve">e-Gov</t>
    </r>
    <r>
      <rPr>
        <sz val="10"/>
        <rFont val="WenQuanYi Zen Hei"/>
        <family val="2"/>
      </rPr>
      <t xml:space="preserve">結果公示を再確認（案件番号</t>
    </r>
    <r>
      <rPr>
        <sz val="10"/>
        <rFont val="Meiryo"/>
        <family val="0"/>
        <charset val="1"/>
      </rPr>
      <t xml:space="preserve">620126001</t>
    </r>
    <r>
      <rPr>
        <sz val="10"/>
        <rFont val="WenQuanYi Zen Hei"/>
        <family val="2"/>
      </rPr>
      <t xml:space="preserve">を含む）。</t>
    </r>
  </si>
  <si>
    <t xml:space="preserve">https://public-comment.e-gov.go.jp/</t>
  </si>
  <si>
    <t xml:space="preserve">自治体・費用</t>
  </si>
  <si>
    <t xml:space="preserve">大分県大分市</t>
  </si>
  <si>
    <r>
      <rPr>
        <sz val="10"/>
        <rFont val="WenQuanYi Zen Hei"/>
        <family val="2"/>
      </rPr>
      <t xml:space="preserve">都市計画法関係手数料の改定を予告（</t>
    </r>
    <r>
      <rPr>
        <sz val="10"/>
        <rFont val="Meiryo"/>
        <family val="0"/>
        <charset val="1"/>
      </rPr>
      <t xml:space="preserve">2026-10-01</t>
    </r>
    <r>
      <rPr>
        <sz val="10"/>
        <rFont val="WenQuanYi Zen Hei"/>
        <family val="2"/>
      </rPr>
      <t xml:space="preserve">施行）。系統用蓄電池の取扱いページ自体は</t>
    </r>
    <r>
      <rPr>
        <sz val="10"/>
        <rFont val="Meiryo"/>
        <family val="0"/>
        <charset val="1"/>
      </rPr>
      <t xml:space="preserve">2026-04-01</t>
    </r>
    <r>
      <rPr>
        <sz val="10"/>
        <rFont val="WenQuanYi Zen Hei"/>
        <family val="2"/>
      </rPr>
      <t xml:space="preserve">更新のまま変更なし。</t>
    </r>
  </si>
  <si>
    <t xml:space="preserve">大分市内で開発許可を要する案件の申請コストが変動する可能性。</t>
  </si>
  <si>
    <t xml:space="preserve">大分市案件の費用見積りに改定後手数料を反映。</t>
  </si>
  <si>
    <t xml:space="preserve">https://www.city.oita.oita.jp/o173/tikudennti.html</t>
  </si>
  <si>
    <t xml:space="preserve">自治体・条例</t>
  </si>
  <si>
    <t xml:space="preserve">岩手県遠野市</t>
  </si>
  <si>
    <r>
      <rPr>
        <sz val="10"/>
        <rFont val="WenQuanYi Zen Hei"/>
        <family val="2"/>
      </rPr>
      <t xml:space="preserve">再エネ共生条例の対象に蓄電池・蓄電所が含まれるか未確認（例規集サイトが機械アクセス拒否）。市内で大規模系統用蓄電所が</t>
    </r>
    <r>
      <rPr>
        <sz val="10"/>
        <rFont val="Meiryo"/>
        <family val="0"/>
        <charset val="1"/>
      </rPr>
      <t xml:space="preserve">2025</t>
    </r>
    <r>
      <rPr>
        <sz val="10"/>
        <rFont val="WenQuanYi Zen Hei"/>
        <family val="2"/>
      </rPr>
      <t xml:space="preserve">年</t>
    </r>
    <r>
      <rPr>
        <sz val="10"/>
        <rFont val="Meiryo"/>
        <family val="0"/>
        <charset val="1"/>
      </rPr>
      <t xml:space="preserve">6</t>
    </r>
    <r>
      <rPr>
        <sz val="10"/>
        <rFont val="WenQuanYi Zen Hei"/>
        <family val="2"/>
      </rPr>
      <t xml:space="preserve">月に稼働済みで、対象化・改正の可能性が高い。</t>
    </r>
  </si>
  <si>
    <t xml:space="preserve">対象なら届出・協定等の手続きが発生。開発許可権者でない市の独自条例ルートの代表例。</t>
  </si>
  <si>
    <t xml:space="preserve">未確認</t>
  </si>
  <si>
    <t xml:space="preserve">窓口照会または例規集の手動閲覧で対象設備の定義を確認。</t>
  </si>
  <si>
    <t xml:space="preserve">https://www1.g-reiki.net/tono/reiki_honbun/r212RG00000763.html</t>
  </si>
  <si>
    <t xml:space="preserve">宮城県仙台市</t>
  </si>
  <si>
    <r>
      <rPr>
        <sz val="10"/>
        <rFont val="WenQuanYi Zen Hei"/>
        <family val="2"/>
      </rPr>
      <t xml:space="preserve">太陽光発電事業の導入促進条例の蓄電池適用が未確認。関連パブコメの結果は</t>
    </r>
    <r>
      <rPr>
        <sz val="10"/>
        <rFont val="Meiryo"/>
        <family val="0"/>
        <charset val="1"/>
      </rPr>
      <t xml:space="preserve">2026-04-22</t>
    </r>
    <r>
      <rPr>
        <sz val="10"/>
        <rFont val="WenQuanYi Zen Hei"/>
        <family val="2"/>
      </rPr>
      <t xml:space="preserve">公表済み（提出</t>
    </r>
    <r>
      <rPr>
        <sz val="10"/>
        <rFont val="Meiryo"/>
        <family val="0"/>
        <charset val="1"/>
      </rPr>
      <t xml:space="preserve">35</t>
    </r>
    <r>
      <rPr>
        <sz val="10"/>
        <rFont val="WenQuanYi Zen Hei"/>
        <family val="2"/>
      </rPr>
      <t xml:space="preserve">名・</t>
    </r>
    <r>
      <rPr>
        <sz val="10"/>
        <rFont val="Meiryo"/>
        <family val="0"/>
        <charset val="1"/>
      </rPr>
      <t xml:space="preserve">93</t>
    </r>
    <r>
      <rPr>
        <sz val="10"/>
        <rFont val="WenQuanYi Zen Hei"/>
        <family val="2"/>
      </rPr>
      <t xml:space="preserve">件）。火災予防条例の蓄電池設備基準は</t>
    </r>
    <r>
      <rPr>
        <sz val="10"/>
        <rFont val="Meiryo"/>
        <family val="0"/>
        <charset val="1"/>
      </rPr>
      <t xml:space="preserve">2023</t>
    </r>
    <r>
      <rPr>
        <sz val="10"/>
        <rFont val="WenQuanYi Zen Hei"/>
        <family val="2"/>
      </rPr>
      <t xml:space="preserve">年</t>
    </r>
    <r>
      <rPr>
        <sz val="10"/>
        <rFont val="Meiryo"/>
        <family val="0"/>
        <charset val="1"/>
      </rPr>
      <t xml:space="preserve">10</t>
    </r>
    <r>
      <rPr>
        <sz val="10"/>
        <rFont val="WenQuanYi Zen Hei"/>
        <family val="2"/>
      </rPr>
      <t xml:space="preserve">月改正済み。</t>
    </r>
  </si>
  <si>
    <t xml:space="preserve">神戸市のように太陽光条例の改正で蓄電所を追加する方式の候補。</t>
  </si>
  <si>
    <t xml:space="preserve">パブコメ結果と条例改正の確定内容から蓄電池適用の有無を確認。</t>
  </si>
  <si>
    <t xml:space="preserve">https://www.city.sendai.jp/kankyochose/kurashi/machi/kankyohozen/kurashi/taiyokojorei/taiyoko_ikenbosyu.html</t>
  </si>
  <si>
    <t xml:space="preserve">青森県</t>
  </si>
  <si>
    <r>
      <rPr>
        <sz val="10"/>
        <rFont val="WenQuanYi Zen Hei"/>
        <family val="2"/>
      </rPr>
      <t xml:space="preserve">再エネ共生条例（</t>
    </r>
    <r>
      <rPr>
        <sz val="10"/>
        <rFont val="Meiryo"/>
        <family val="0"/>
        <charset val="1"/>
      </rPr>
      <t xml:space="preserve">2025-10-07</t>
    </r>
    <r>
      <rPr>
        <sz val="10"/>
        <rFont val="WenQuanYi Zen Hei"/>
        <family val="2"/>
      </rPr>
      <t xml:space="preserve">施行・太陽光</t>
    </r>
    <r>
      <rPr>
        <sz val="10"/>
        <rFont val="Meiryo"/>
        <family val="0"/>
        <charset val="1"/>
      </rPr>
      <t xml:space="preserve">2MW</t>
    </r>
    <r>
      <rPr>
        <sz val="10"/>
        <rFont val="WenQuanYi Zen Hei"/>
        <family val="2"/>
      </rPr>
      <t xml:space="preserve">以上</t>
    </r>
    <r>
      <rPr>
        <sz val="10"/>
        <rFont val="Meiryo"/>
        <family val="0"/>
        <charset val="1"/>
      </rPr>
      <t xml:space="preserve">/</t>
    </r>
    <r>
      <rPr>
        <sz val="10"/>
        <rFont val="WenQuanYi Zen Hei"/>
        <family val="2"/>
      </rPr>
      <t xml:space="preserve">風力</t>
    </r>
    <r>
      <rPr>
        <sz val="10"/>
        <rFont val="Meiryo"/>
        <family val="0"/>
        <charset val="1"/>
      </rPr>
      <t xml:space="preserve">500kW</t>
    </r>
    <r>
      <rPr>
        <sz val="10"/>
        <rFont val="WenQuanYi Zen Hei"/>
        <family val="2"/>
      </rPr>
      <t xml:space="preserve">以上対象）への蓄電池追加の新情報なし。</t>
    </r>
  </si>
  <si>
    <t xml:space="preserve">追加されると県内全域で協議・共生手続きが発生。</t>
  </si>
  <si>
    <t xml:space="preserve">変化なし</t>
  </si>
  <si>
    <t xml:space="preserve">四半期ごとの定点確認を継続。青森県案件の着手時は窓口照会。</t>
  </si>
  <si>
    <t xml:space="preserve">自治体・運用</t>
  </si>
  <si>
    <t xml:space="preserve">広島県東広島市</t>
  </si>
  <si>
    <t xml:space="preserve">開発許可制度の運用基準集に系統用蓄電池の記載がある可能性（二次情報のまま。今回のスイープでも新情報なし）。</t>
  </si>
  <si>
    <t xml:space="preserve">記載があれば開発許可運用型として手続きが発生。</t>
  </si>
  <si>
    <r>
      <rPr>
        <sz val="10"/>
        <rFont val="WenQuanYi Zen Hei"/>
        <family val="2"/>
      </rPr>
      <t xml:space="preserve">基準集</t>
    </r>
    <r>
      <rPr>
        <sz val="10"/>
        <rFont val="Meiryo"/>
        <family val="0"/>
        <charset val="1"/>
      </rPr>
      <t xml:space="preserve">PDF</t>
    </r>
    <r>
      <rPr>
        <sz val="10"/>
        <rFont val="WenQuanYi Zen Hei"/>
        <family val="2"/>
      </rPr>
      <t xml:space="preserve">の入手・確認（次回スイープまたは窓口照会）。</t>
    </r>
  </si>
  <si>
    <t xml:space="preserve">岐阜県関ケ原町</t>
  </si>
  <si>
    <r>
      <rPr>
        <sz val="10"/>
        <rFont val="WenQuanYi Zen Hei"/>
        <family val="2"/>
      </rPr>
      <t xml:space="preserve">系統用蓄電池の取扱い公表の可能性（町ページは</t>
    </r>
    <r>
      <rPr>
        <sz val="10"/>
        <rFont val="Meiryo"/>
        <family val="0"/>
        <charset val="1"/>
      </rPr>
      <t xml:space="preserve">2026-02-19</t>
    </r>
    <r>
      <rPr>
        <sz val="10"/>
        <rFont val="WenQuanYi Zen Hei"/>
        <family val="2"/>
      </rPr>
      <t xml:space="preserve">更新のまま内容変化なし）。</t>
    </r>
  </si>
  <si>
    <t xml:space="preserve">確認できれば権者外の独自公表として収録対象。</t>
  </si>
  <si>
    <t xml:space="preserve">次回スイープで継続確認。</t>
  </si>
  <si>
    <t xml:space="preserve">https://www.town.sekigahara.gifu.jp/6979.htm</t>
  </si>
  <si>
    <t xml:space="preserve">監視結果</t>
  </si>
  <si>
    <r>
      <rPr>
        <sz val="10"/>
        <rFont val="WenQuanYi Zen Hei"/>
        <family val="2"/>
      </rPr>
      <t xml:space="preserve">既知ページ</t>
    </r>
    <r>
      <rPr>
        <sz val="10"/>
        <rFont val="Meiryo"/>
        <family val="0"/>
        <charset val="1"/>
      </rPr>
      <t xml:space="preserve">33</t>
    </r>
    <r>
      <rPr>
        <sz val="10"/>
        <rFont val="WenQuanYi Zen Hei"/>
        <family val="2"/>
      </rPr>
      <t xml:space="preserve">件</t>
    </r>
  </si>
  <si>
    <r>
      <rPr>
        <sz val="10"/>
        <rFont val="WenQuanYi Zen Hei"/>
        <family val="2"/>
      </rPr>
      <t xml:space="preserve">層①の変更監視で変更</t>
    </r>
    <r>
      <rPr>
        <sz val="10"/>
        <rFont val="Meiryo"/>
        <family val="0"/>
        <charset val="1"/>
      </rPr>
      <t xml:space="preserve">0</t>
    </r>
    <r>
      <rPr>
        <sz val="10"/>
        <rFont val="WenQuanYi Zen Hei"/>
        <family val="2"/>
      </rPr>
      <t xml:space="preserve">・消失</t>
    </r>
    <r>
      <rPr>
        <sz val="10"/>
        <rFont val="Meiryo"/>
        <family val="0"/>
        <charset val="1"/>
      </rPr>
      <t xml:space="preserve">0</t>
    </r>
    <r>
      <rPr>
        <sz val="10"/>
        <rFont val="WenQuanYi Zen Hei"/>
        <family val="2"/>
      </rPr>
      <t xml:space="preserve">（</t>
    </r>
    <r>
      <rPr>
        <sz val="10"/>
        <rFont val="Meiryo"/>
        <family val="0"/>
        <charset val="1"/>
      </rPr>
      <t xml:space="preserve">2026-08-24</t>
    </r>
    <r>
      <rPr>
        <sz val="10"/>
        <rFont val="WenQuanYi Zen Hei"/>
        <family val="2"/>
      </rPr>
      <t xml:space="preserve">実行）。熊本市ページの取得失敗は一時的な</t>
    </r>
    <r>
      <rPr>
        <sz val="10"/>
        <rFont val="Meiryo"/>
        <family val="0"/>
        <charset val="1"/>
      </rPr>
      <t xml:space="preserve">bot</t>
    </r>
    <r>
      <rPr>
        <sz val="10"/>
        <rFont val="WenQuanYi Zen Hei"/>
        <family val="2"/>
      </rPr>
      <t xml:space="preserve">拒否で、手動確認によりページ存置・内容変化なしを確認。</t>
    </r>
  </si>
  <si>
    <t xml:space="preserve">既知規制の改正・詳細化は今週なし。</t>
  </si>
  <si>
    <r>
      <rPr>
        <sz val="10"/>
        <rFont val="WenQuanYi Zen Hei"/>
        <family val="2"/>
      </rPr>
      <t xml:space="preserve">週次の自動監視（</t>
    </r>
    <r>
      <rPr>
        <sz val="10"/>
        <rFont val="Meiryo"/>
        <family val="0"/>
        <charset val="1"/>
      </rPr>
      <t xml:space="preserve">GitHub Actions</t>
    </r>
    <r>
      <rPr>
        <sz val="10"/>
        <rFont val="WenQuanYi Zen Hei"/>
        <family val="2"/>
      </rPr>
      <t xml:space="preserve">・毎週月曜</t>
    </r>
    <r>
      <rPr>
        <sz val="10"/>
        <rFont val="Meiryo"/>
        <family val="0"/>
        <charset val="1"/>
      </rPr>
      <t xml:space="preserve">9:00 JST</t>
    </r>
    <r>
      <rPr>
        <sz val="10"/>
        <rFont val="WenQuanYi Zen Hei"/>
        <family val="2"/>
      </rPr>
      <t xml:space="preserve">）を継続。</t>
    </r>
  </si>
  <si>
    <r>
      <rPr>
        <sz val="10"/>
        <rFont val="WenQuanYi Zen Hei"/>
        <family val="2"/>
      </rPr>
      <t xml:space="preserve">開発許可権者</t>
    </r>
    <r>
      <rPr>
        <sz val="10"/>
        <rFont val="Meiryo"/>
        <family val="0"/>
        <charset val="1"/>
      </rPr>
      <t xml:space="preserve">151</t>
    </r>
    <r>
      <rPr>
        <sz val="10"/>
        <rFont val="WenQuanYi Zen Hei"/>
        <family val="2"/>
      </rPr>
      <t xml:space="preserve">者（今週</t>
    </r>
    <r>
      <rPr>
        <sz val="10"/>
        <rFont val="Meiryo"/>
        <family val="0"/>
        <charset val="1"/>
      </rPr>
      <t xml:space="preserve">: </t>
    </r>
    <r>
      <rPr>
        <sz val="10"/>
        <rFont val="WenQuanYi Zen Hei"/>
        <family val="2"/>
      </rPr>
      <t xml:space="preserve">グループ</t>
    </r>
    <r>
      <rPr>
        <sz val="10"/>
        <rFont val="Meiryo"/>
        <family val="0"/>
        <charset val="1"/>
      </rPr>
      <t xml:space="preserve">0</t>
    </r>
    <r>
      <rPr>
        <sz val="10"/>
        <rFont val="WenQuanYi Zen Hei"/>
        <family val="2"/>
      </rPr>
      <t xml:space="preserve">の</t>
    </r>
    <r>
      <rPr>
        <sz val="10"/>
        <rFont val="Meiryo"/>
        <family val="0"/>
        <charset val="1"/>
      </rPr>
      <t xml:space="preserve">31</t>
    </r>
    <r>
      <rPr>
        <sz val="10"/>
        <rFont val="WenQuanYi Zen Hei"/>
        <family val="2"/>
      </rPr>
      <t xml:space="preserve">者）</t>
    </r>
  </si>
  <si>
    <r>
      <rPr>
        <sz val="10"/>
        <rFont val="WenQuanYi Zen Hei"/>
        <family val="2"/>
      </rPr>
      <t xml:space="preserve">今週ローテーション分の</t>
    </r>
    <r>
      <rPr>
        <sz val="10"/>
        <rFont val="Meiryo"/>
        <family val="0"/>
        <charset val="1"/>
      </rPr>
      <t xml:space="preserve">31</t>
    </r>
    <r>
      <rPr>
        <sz val="10"/>
        <rFont val="WenQuanYi Zen Hei"/>
        <family val="2"/>
      </rPr>
      <t xml:space="preserve">権者（北海道・山形県・埼玉県・富山県・岐阜県・京都府・鳥取県・佐賀県・鹿児島県・徳島県・千葉市・静岡市・堺市・福岡市・八戸市・郡山市・高崎市・柏市・福井市・豊橋市・豊中市・寝屋川市・西宮市・倉敷市・松山市・大分市・伊勢崎市・草加市・大和市・春日井市・佐賀市）を再巡回。新たな公表なし。</t>
    </r>
  </si>
  <si>
    <t xml:space="preserve">「公表確認できず」は規制なしの証明ではない。案件着手時の窓口照会（層③）は省略しない。</t>
  </si>
  <si>
    <r>
      <rPr>
        <sz val="10"/>
        <rFont val="WenQuanYi Zen Hei"/>
        <family val="2"/>
      </rPr>
      <t xml:space="preserve">残り</t>
    </r>
    <r>
      <rPr>
        <sz val="10"/>
        <rFont val="Meiryo"/>
        <family val="0"/>
        <charset val="1"/>
      </rPr>
      <t xml:space="preserve">4</t>
    </r>
    <r>
      <rPr>
        <sz val="10"/>
        <rFont val="WenQuanYi Zen Hei"/>
        <family val="2"/>
      </rPr>
      <t xml:space="preserve">グループ（</t>
    </r>
    <r>
      <rPr>
        <sz val="10"/>
        <rFont val="Meiryo"/>
        <family val="0"/>
        <charset val="1"/>
      </rPr>
      <t xml:space="preserve">120</t>
    </r>
    <r>
      <rPr>
        <sz val="10"/>
        <rFont val="WenQuanYi Zen Hei"/>
        <family val="2"/>
      </rPr>
      <t xml:space="preserve">権者）を毎週約</t>
    </r>
    <r>
      <rPr>
        <sz val="10"/>
        <rFont val="Meiryo"/>
        <family val="0"/>
        <charset val="1"/>
      </rPr>
      <t xml:space="preserve">30</t>
    </r>
    <r>
      <rPr>
        <sz val="10"/>
        <rFont val="WenQuanYi Zen Hei"/>
        <family val="2"/>
      </rPr>
      <t xml:space="preserve">者ずつ巡回（</t>
    </r>
    <r>
      <rPr>
        <sz val="10"/>
        <rFont val="Meiryo"/>
        <family val="0"/>
        <charset val="1"/>
      </rPr>
      <t xml:space="preserve">5</t>
    </r>
    <r>
      <rPr>
        <sz val="10"/>
        <rFont val="WenQuanYi Zen Hei"/>
        <family val="2"/>
      </rPr>
      <t xml:space="preserve">週で全国一巡）。</t>
    </r>
  </si>
  <si>
    <t xml:space="preserve">ID</t>
  </si>
  <si>
    <t xml:space="preserve">レベル</t>
  </si>
  <si>
    <t xml:space="preserve">都道府県</t>
  </si>
  <si>
    <t xml:space="preserve">市区町村</t>
  </si>
  <si>
    <t xml:space="preserve">種別</t>
  </si>
  <si>
    <t xml:space="preserve">名称</t>
  </si>
  <si>
    <t xml:space="preserve">対象</t>
  </si>
  <si>
    <t xml:space="preserve">手続き</t>
  </si>
  <si>
    <r>
      <rPr>
        <b val="true"/>
        <sz val="10"/>
        <color rgb="FFFFFFFF"/>
        <rFont val="Meiryo"/>
        <family val="0"/>
        <charset val="1"/>
      </rPr>
      <t xml:space="preserve">DD</t>
    </r>
    <r>
      <rPr>
        <b val="true"/>
        <sz val="10"/>
        <color rgb="FFFFFFFF"/>
        <rFont val="WenQuanYi Zen Hei"/>
        <family val="2"/>
      </rPr>
      <t xml:space="preserve">・案件への影響</t>
    </r>
  </si>
  <si>
    <t xml:space="preserve">公表日</t>
  </si>
  <si>
    <t xml:space="preserve">施行日</t>
  </si>
  <si>
    <t xml:space="preserve">最終確認日</t>
  </si>
  <si>
    <t xml:space="preserve">URL</t>
  </si>
  <si>
    <t xml:space="preserve">kuni-mlit-001</t>
  </si>
  <si>
    <t xml:space="preserve">国</t>
  </si>
  <si>
    <t xml:space="preserve">（全国）</t>
  </si>
  <si>
    <t xml:space="preserve">技術的助言</t>
  </si>
  <si>
    <r>
      <rPr>
        <sz val="10"/>
        <rFont val="WenQuanYi Zen Hei"/>
        <family val="2"/>
      </rPr>
      <t xml:space="preserve">系統用蓄電池の開発許可制度上の取扱いについて（国都計第</t>
    </r>
    <r>
      <rPr>
        <sz val="10"/>
        <rFont val="Meiryo"/>
        <family val="0"/>
        <charset val="1"/>
      </rPr>
      <t xml:space="preserve">7</t>
    </r>
    <r>
      <rPr>
        <sz val="10"/>
        <rFont val="WenQuanYi Zen Hei"/>
        <family val="2"/>
      </rPr>
      <t xml:space="preserve">号）</t>
    </r>
  </si>
  <si>
    <r>
      <rPr>
        <sz val="10"/>
        <rFont val="WenQuanYi Zen Hei"/>
        <family val="2"/>
      </rPr>
      <t xml:space="preserve">電気事業法の電気事業用電気工作物に該当せず、都市計画法施行令第</t>
    </r>
    <r>
      <rPr>
        <sz val="10"/>
        <rFont val="Meiryo"/>
        <family val="0"/>
        <charset val="1"/>
      </rPr>
      <t xml:space="preserve">1</t>
    </r>
    <r>
      <rPr>
        <sz val="10"/>
        <rFont val="WenQuanYi Zen Hei"/>
        <family val="2"/>
      </rPr>
      <t xml:space="preserve">条第</t>
    </r>
    <r>
      <rPr>
        <sz val="10"/>
        <rFont val="Meiryo"/>
        <family val="0"/>
        <charset val="1"/>
      </rPr>
      <t xml:space="preserve">1</t>
    </r>
    <r>
      <rPr>
        <sz val="10"/>
        <rFont val="WenQuanYi Zen Hei"/>
        <family val="2"/>
      </rPr>
      <t xml:space="preserve">項第</t>
    </r>
    <r>
      <rPr>
        <sz val="10"/>
        <rFont val="Meiryo"/>
        <family val="0"/>
        <charset val="1"/>
      </rPr>
      <t xml:space="preserve">3</t>
    </r>
    <r>
      <rPr>
        <sz val="10"/>
        <rFont val="WenQuanYi Zen Hei"/>
        <family val="2"/>
      </rPr>
      <t xml:space="preserve">号の危険物（リチウムイオン電池の電解液等）を含有する系統用蓄電池</t>
    </r>
  </si>
  <si>
    <t xml:space="preserve">許可（第一種特定工作物として開発許可の対象になりうる）</t>
  </si>
  <si>
    <t xml:space="preserve">全自治体共通のリスク源。この助言を受けて各自治体が独自の運用基準を順次公表しており、案件進行中に突然「開発許可が必要」となるケースの引き金。市街化調整区域の案件は特に注意。</t>
  </si>
  <si>
    <t xml:space="preserve">2025-04-08</t>
  </si>
  <si>
    <t xml:space="preserve">2026-08-21</t>
  </si>
  <si>
    <t xml:space="preserve">https://www.mlit.go.jp/toshi/city_plan/content/001883478.pdf</t>
  </si>
  <si>
    <t xml:space="preserve">kuni-meti-001</t>
  </si>
  <si>
    <t xml:space="preserve">手引き</t>
  </si>
  <si>
    <t xml:space="preserve">電力貯蔵装置（蓄電池）・蓄電所を設置する場合の手引き（経済産業省）</t>
  </si>
  <si>
    <t xml:space="preserve">電力貯蔵装置（蓄電池）・蓄電所全般</t>
  </si>
  <si>
    <t xml:space="preserve">届出（電気事業法：工事計画届出・保安規程・主任技術者等、規模による）</t>
  </si>
  <si>
    <t xml:space="preserve">電気事業法系の手続き変更（届出基準・保安規制）の一次情報。ページ更新は制度変更のシグナル。</t>
  </si>
  <si>
    <t xml:space="preserve">https://www.meti.go.jp/policy/safety_security/industrial_safety/sangyo/electric/detail/denryokucyozousouchi.html</t>
  </si>
  <si>
    <t xml:space="preserve">kuni-enecho-001</t>
  </si>
  <si>
    <t xml:space="preserve">ガイドライン</t>
  </si>
  <si>
    <t xml:space="preserve">説明会及び事前周知措置実施ガイドライン（再エネ特措法・資源エネルギー庁）</t>
  </si>
  <si>
    <r>
      <rPr>
        <sz val="10"/>
        <rFont val="Meiryo"/>
        <family val="0"/>
        <charset val="1"/>
      </rPr>
      <t xml:space="preserve">FIT/FIP</t>
    </r>
    <r>
      <rPr>
        <sz val="10"/>
        <rFont val="WenQuanYi Zen Hei"/>
        <family val="2"/>
      </rPr>
      <t xml:space="preserve">認定を受ける再エネ発電事業（高圧</t>
    </r>
    <r>
      <rPr>
        <sz val="10"/>
        <rFont val="Meiryo"/>
        <family val="0"/>
        <charset val="1"/>
      </rPr>
      <t xml:space="preserve">50kW</t>
    </r>
    <r>
      <rPr>
        <sz val="10"/>
        <rFont val="WenQuanYi Zen Hei"/>
        <family val="2"/>
      </rPr>
      <t xml:space="preserve">以上・特別高圧は説明会が要件）</t>
    </r>
  </si>
  <si>
    <t xml:space="preserve">説明会</t>
  </si>
  <si>
    <r>
      <rPr>
        <sz val="10"/>
        <rFont val="WenQuanYi Zen Hei"/>
        <family val="2"/>
      </rPr>
      <t xml:space="preserve">系統用蓄電池単独（</t>
    </r>
    <r>
      <rPr>
        <sz val="10"/>
        <rFont val="Meiryo"/>
        <family val="0"/>
        <charset val="1"/>
      </rPr>
      <t xml:space="preserve">FIT/FIP</t>
    </r>
    <r>
      <rPr>
        <sz val="10"/>
        <rFont val="WenQuanYi Zen Hei"/>
        <family val="2"/>
      </rPr>
      <t xml:space="preserve">認定なし）は直接の対象外だが、再エネ併設型は対象。また自治体が同様の説明会義務を蓄電池に独自条例で課す際のひな形になっている。</t>
    </r>
  </si>
  <si>
    <t xml:space="preserve">2024-02-01</t>
  </si>
  <si>
    <t xml:space="preserve">2026-04-01</t>
  </si>
  <si>
    <t xml:space="preserve">https://www.enecho.meti.go.jp/category/saving_and_new/saiene/kaitori/dl/fit_2017/legal/guideline_setsumeikai.pdf</t>
  </si>
  <si>
    <t xml:space="preserve">kuni-fire-001</t>
  </si>
  <si>
    <t xml:space="preserve">条例</t>
  </si>
  <si>
    <t xml:space="preserve">火災予防条例（例）に基づく蓄電池設備規制（全市町村共通の枠組み）</t>
  </si>
  <si>
    <t xml:space="preserve">一定容量以上の蓄電池設備（各市町村の火災予防条例で規定）</t>
  </si>
  <si>
    <t xml:space="preserve">届出（消防署への設置届出・技術基準適合）</t>
  </si>
  <si>
    <t xml:space="preserve">全案件で所轄消防への事前協議が必須。条例（例）改正（離隔距離・消火設備等）はコスト・レイアウトに直結。</t>
  </si>
  <si>
    <t xml:space="preserve">https://www.fdma.go.jp/laws/tutatsu/</t>
  </si>
  <si>
    <t xml:space="preserve">muni-chiba-chiba-001</t>
  </si>
  <si>
    <t xml:space="preserve">千葉県</t>
  </si>
  <si>
    <t xml:space="preserve">千葉市</t>
  </si>
  <si>
    <t xml:space="preserve">開発許可運用</t>
  </si>
  <si>
    <t xml:space="preserve">系統用蓄電池の開発許可制度上の取扱いについて</t>
  </si>
  <si>
    <t xml:space="preserve">電気事業用電気工作物に該当せず危険物を含有する系統用蓄電池（少量の危険物含有でも該当）</t>
  </si>
  <si>
    <t xml:space="preserve">許可（第一種特定工作物として開発許可）</t>
  </si>
  <si>
    <r>
      <rPr>
        <sz val="10"/>
        <rFont val="WenQuanYi Zen Hei"/>
        <family val="2"/>
      </rPr>
      <t xml:space="preserve">千葉市内の案件は宅地課（</t>
    </r>
    <r>
      <rPr>
        <sz val="10"/>
        <rFont val="Meiryo"/>
        <family val="0"/>
        <charset val="1"/>
      </rPr>
      <t xml:space="preserve">043-245-5320</t>
    </r>
    <r>
      <rPr>
        <sz val="10"/>
        <rFont val="WenQuanYi Zen Hei"/>
        <family val="2"/>
      </rPr>
      <t xml:space="preserve">）への事前照会が必須。市街化調整区域では開発許可の取得期間（数ヶ月〜）をスケジュールに織り込む。</t>
    </r>
  </si>
  <si>
    <t xml:space="preserve">2025-09-11</t>
  </si>
  <si>
    <t xml:space="preserve">https://www.city.chiba.jp/toshi/kenchiku/takuchi/keitouyochikudenchi20250911.html</t>
  </si>
  <si>
    <t xml:space="preserve">muni-shizuoka-hamamatsu-001</t>
  </si>
  <si>
    <t xml:space="preserve">静岡県</t>
  </si>
  <si>
    <t xml:space="preserve">浜松市</t>
  </si>
  <si>
    <t xml:space="preserve">「開発許可制度」における系統用蓄電池の取扱いについて</t>
  </si>
  <si>
    <t xml:space="preserve">系統用蓄電池を収納したコンテナの設置</t>
  </si>
  <si>
    <t xml:space="preserve">浜松市内の案件は開発許可担当への事前照会が必須。市街化調整区域は原則不許可のため候補地から除外を検討。</t>
  </si>
  <si>
    <t xml:space="preserve">2025-11-14</t>
  </si>
  <si>
    <t xml:space="preserve">2025-12-01</t>
  </si>
  <si>
    <t xml:space="preserve">https://www.city.hamamatsu.shizuoka.jp/tochi/kaihatu/20251201.html</t>
  </si>
  <si>
    <t xml:space="preserve">muni-kumamoto-kumamoto-001</t>
  </si>
  <si>
    <t xml:space="preserve">熊本県</t>
  </si>
  <si>
    <t xml:space="preserve">熊本市</t>
  </si>
  <si>
    <t xml:space="preserve">開発許可制度における系統用蓄電池の取扱いについて</t>
  </si>
  <si>
    <t xml:space="preserve">電気事業（小売電気事業・特定卸供給事業）の用に供する系統用蓄電池で危険物を含有するもの</t>
  </si>
  <si>
    <t xml:space="preserve">許可（第一種特定工作物として一定規模以上の開発行為に開発許可）</t>
  </si>
  <si>
    <t xml:space="preserve">熊本市の市街化調整区域は実質設置不可。市街化区域でも盛土規制法の要否を含め開発許可担当への事前照会が必須。</t>
  </si>
  <si>
    <t xml:space="preserve">2025-09-25</t>
  </si>
  <si>
    <t xml:space="preserve">https://www.city.kumamoto.jp/kiji00366662/index.html</t>
  </si>
  <si>
    <t xml:space="preserve">pref-kumamoto-001</t>
  </si>
  <si>
    <t xml:space="preserve">系統用蓄電池の開発許可制度上の取り扱いについて</t>
  </si>
  <si>
    <t xml:space="preserve">熊本県所管区域（開発許可権限を持たない市町村）の危険物含有系統用蓄電池</t>
  </si>
  <si>
    <t xml:space="preserve">熊本県内（熊本市以外の多く）の案件は県の開発許可担当への事前照会が必須。</t>
  </si>
  <si>
    <t xml:space="preserve">2025-05-30</t>
  </si>
  <si>
    <t xml:space="preserve">https://www.pref.kumamoto.jp/soshiki/115/236234.html</t>
  </si>
  <si>
    <t xml:space="preserve">muni-gunma-takasaki-001</t>
  </si>
  <si>
    <t xml:space="preserve">群馬県</t>
  </si>
  <si>
    <t xml:space="preserve">高崎市</t>
  </si>
  <si>
    <t xml:space="preserve">危険物を含有する系統用蓄電池</t>
  </si>
  <si>
    <t xml:space="preserve">高崎市内の案件は開発指導課への事前照会が必須。許可対象外規模でも指導要綱の事前協議が必要になりうる。</t>
  </si>
  <si>
    <t xml:space="preserve">2025-06-10</t>
  </si>
  <si>
    <t xml:space="preserve">https://www.city.takasaki.gunma.jp/page/67886.html</t>
  </si>
  <si>
    <t xml:space="preserve">muni-saitama-okegawa-001</t>
  </si>
  <si>
    <t xml:space="preserve">埼玉県</t>
  </si>
  <si>
    <t xml:space="preserve">桶川市</t>
  </si>
  <si>
    <t xml:space="preserve">桶川市内の案件は開発許可担当への事前照会が必須。</t>
  </si>
  <si>
    <t xml:space="preserve">https://www.city.okegawa.lg.jp/soshiki/toshiseibi/kenchiku/machidukuri/kyoka/14211.html</t>
  </si>
  <si>
    <t xml:space="preserve">muni-shiga-otsu-001</t>
  </si>
  <si>
    <t xml:space="preserve">滋賀県</t>
  </si>
  <si>
    <t xml:space="preserve">大津市</t>
  </si>
  <si>
    <t xml:space="preserve">大津市内の市街化調整区域は現状実質設置不可。市街化区域でも開発許可の要否を事前照会。</t>
  </si>
  <si>
    <t xml:space="preserve">https://www.city.otsu.lg.jp/b/kk/73620.html</t>
  </si>
  <si>
    <t xml:space="preserve">muni-hyogo-kakogawa-001</t>
  </si>
  <si>
    <t xml:space="preserve">兵庫県</t>
  </si>
  <si>
    <t xml:space="preserve">加古川市</t>
  </si>
  <si>
    <t xml:space="preserve">加古川市内の案件はまちづくり指導課への事前相談が必須。太陽光併設型も対象になる点に注意。</t>
  </si>
  <si>
    <t xml:space="preserve">2025-11-19</t>
  </si>
  <si>
    <t xml:space="preserve">https://www.city.kakogawa.lg.jp/soshikikarasagasu/tosi_kekaku/kaihatsushidoka/keitouyouchikudenchi.html</t>
  </si>
  <si>
    <t xml:space="preserve">muni-hyogo-sanda-001</t>
  </si>
  <si>
    <t xml:space="preserve">三田市</t>
  </si>
  <si>
    <t xml:space="preserve">開発許可制度における系統用蓄電池の取り扱いについて</t>
  </si>
  <si>
    <t xml:space="preserve">三田市内の案件は開発許可担当への事前照会が必須。</t>
  </si>
  <si>
    <t xml:space="preserve">https://www.city.sanda.lg.jp/soshiki/36/faq/faq_jigyosha/1/33032.html</t>
  </si>
  <si>
    <t xml:space="preserve">muni-hiroshima-kure-001</t>
  </si>
  <si>
    <t xml:space="preserve">広島県</t>
  </si>
  <si>
    <t xml:space="preserve">呉市</t>
  </si>
  <si>
    <t xml:space="preserve">系統用蓄電池の開発許可制度上の取扱いについて（運用基準）</t>
  </si>
  <si>
    <t xml:space="preserve">許可（第一種特定工作物として開発許可・運用基準あり）</t>
  </si>
  <si>
    <t xml:space="preserve">呉市内の案件は運用基準の確認と事前照会が必須。</t>
  </si>
  <si>
    <t xml:space="preserve">2026-02-10</t>
  </si>
  <si>
    <t xml:space="preserve">https://www.city.kure.lg.jp/soshiki/49/keitouyou-kaihatu.html</t>
  </si>
  <si>
    <t xml:space="preserve">muni-gifu-tajimi-001</t>
  </si>
  <si>
    <t xml:space="preserve">岐阜県</t>
  </si>
  <si>
    <t xml:space="preserve">多治見市</t>
  </si>
  <si>
    <t xml:space="preserve">開発行為における系統用蓄電池の取扱い</t>
  </si>
  <si>
    <t xml:space="preserve">許可（開発行為に該当する場合は開発許可）</t>
  </si>
  <si>
    <t xml:space="preserve">多治見市内の案件は開発許可担当への事前照会が必須。</t>
  </si>
  <si>
    <t xml:space="preserve">https://www.city.tajimi.lg.jp/kurashi_tetsuduzuki/machizukuri/1005830/1005831/1005832.html</t>
  </si>
  <si>
    <t xml:space="preserve">pref-tokushima-001</t>
  </si>
  <si>
    <t xml:space="preserve">徳島県</t>
  </si>
  <si>
    <t xml:space="preserve">小売電気事業等に用いる危険物貯蔵・処理の系統用蓄電池</t>
  </si>
  <si>
    <t xml:space="preserve">許可（第一種特定工作物として開発許可。積み重ねコンテナは建築物扱いの場合あり）</t>
  </si>
  <si>
    <t xml:space="preserve">徳島県所管区域の案件は県への事前照会が必須。</t>
  </si>
  <si>
    <t xml:space="preserve">2026-01-27</t>
  </si>
  <si>
    <t xml:space="preserve">https://www.pref.tokushima.lg.jp/ippannokata/kendozukuri/toshikeikaku/7309866/</t>
  </si>
  <si>
    <t xml:space="preserve">muni-tottori-tottori-001</t>
  </si>
  <si>
    <t xml:space="preserve">鳥取県</t>
  </si>
  <si>
    <t xml:space="preserve">鳥取市</t>
  </si>
  <si>
    <t xml:space="preserve">危険物を含有する系統用蓄電池コンテナ</t>
  </si>
  <si>
    <r>
      <rPr>
        <sz val="10"/>
        <rFont val="WenQuanYi Zen Hei"/>
        <family val="2"/>
      </rPr>
      <t xml:space="preserve">許可（市街化区域は原則</t>
    </r>
    <r>
      <rPr>
        <sz val="10"/>
        <rFont val="Meiryo"/>
        <family val="0"/>
        <charset val="1"/>
      </rPr>
      <t xml:space="preserve">1,000</t>
    </r>
    <r>
      <rPr>
        <sz val="10"/>
        <rFont val="WenQuanYi Zen Hei"/>
        <family val="2"/>
      </rPr>
      <t xml:space="preserve">㎡以上で開発許可。市街化調整区域は許可基準未整備で設置不可）</t>
    </r>
  </si>
  <si>
    <t xml:space="preserve">鳥取市の市街化調整区域は実質設置不可。建築指導課開発指導係への事前照会が必須。</t>
  </si>
  <si>
    <t xml:space="preserve">2026-07-08</t>
  </si>
  <si>
    <t xml:space="preserve">https://www.city.tottori.lg.jp/page/45059.html</t>
  </si>
  <si>
    <t xml:space="preserve">muni-oita-oita-001</t>
  </si>
  <si>
    <t xml:space="preserve">大分県</t>
  </si>
  <si>
    <t xml:space="preserve">大分市</t>
  </si>
  <si>
    <t xml:space="preserve">系統用蓄電池の開発許可制度上の取扱い</t>
  </si>
  <si>
    <t xml:space="preserve">建築物または第一種特定工作物に該当する系統用蓄電池</t>
  </si>
  <si>
    <t xml:space="preserve">許可（一定規模以上の開発行為に開発許可等）</t>
  </si>
  <si>
    <r>
      <rPr>
        <sz val="10"/>
        <rFont val="WenQuanYi Zen Hei"/>
        <family val="2"/>
      </rPr>
      <t xml:space="preserve">大分市内の案件は開発建築指導課開発指導室（</t>
    </r>
    <r>
      <rPr>
        <sz val="10"/>
        <rFont val="Meiryo"/>
        <family val="0"/>
        <charset val="1"/>
      </rPr>
      <t xml:space="preserve">097-537-5683</t>
    </r>
    <r>
      <rPr>
        <sz val="10"/>
        <rFont val="WenQuanYi Zen Hei"/>
        <family val="2"/>
      </rPr>
      <t xml:space="preserve">）への事前照会が必須。</t>
    </r>
  </si>
  <si>
    <t xml:space="preserve">muni-fukushima-fukushima-001</t>
  </si>
  <si>
    <t xml:space="preserve">福島県</t>
  </si>
  <si>
    <t xml:space="preserve">福島市</t>
  </si>
  <si>
    <t xml:space="preserve">指導要綱</t>
  </si>
  <si>
    <t xml:space="preserve">福島市系統用蓄電池設備に関するガイドライン</t>
  </si>
  <si>
    <t xml:space="preserve">市内に設置される系統用蓄電池設備（設置・維持管理・廃止）</t>
  </si>
  <si>
    <t xml:space="preserve">協議（事前相談・地域との調和手続き）</t>
  </si>
  <si>
    <t xml:space="preserve">福島市内の案件は開発許可の確認に加えてガイドラインに基づく事前相談が必要。住民説明等の期間をスケジュールに織り込む。</t>
  </si>
  <si>
    <t xml:space="preserve">2026-05-21</t>
  </si>
  <si>
    <t xml:space="preserve">2026-05-13</t>
  </si>
  <si>
    <t xml:space="preserve">https://www.city.fukushima.fukushima.jp/soshiki/5/1018/2/15311.html</t>
  </si>
  <si>
    <t xml:space="preserve">muni-shizuoka-hamamatsu-002</t>
  </si>
  <si>
    <t xml:space="preserve">浜松市蓄電池設備に関するガイドライン</t>
  </si>
  <si>
    <t xml:space="preserve">市内の蓄電池設備</t>
  </si>
  <si>
    <t xml:space="preserve">協議（ガイドラインに基づく手続き）</t>
  </si>
  <si>
    <t xml:space="preserve">浜松市内の案件は開発許可の事前照会とあわせてガイドラインの手続きを確認。</t>
  </si>
  <si>
    <t xml:space="preserve">https://www.city.hamamatsu.shizuoka.jp/documents/13411/tikuden-guideline.pdf</t>
  </si>
  <si>
    <t xml:space="preserve">muni-gunma-ota-001</t>
  </si>
  <si>
    <t xml:space="preserve">太田市</t>
  </si>
  <si>
    <t xml:space="preserve">系統用蓄電池の取扱い（市街化調整区域）</t>
  </si>
  <si>
    <t xml:space="preserve">市街化調整区域における系統用蓄電池</t>
  </si>
  <si>
    <t xml:space="preserve">許可（用途によっては現時点で許可基準なし＝実質設置不可）</t>
  </si>
  <si>
    <r>
      <rPr>
        <sz val="10"/>
        <rFont val="WenQuanYi Zen Hei"/>
        <family val="2"/>
      </rPr>
      <t xml:space="preserve">太田市の市街化調整区域は用途により実質設置不可の可能性。建築指導課開発指導係（</t>
    </r>
    <r>
      <rPr>
        <sz val="10"/>
        <rFont val="Meiryo"/>
        <family val="0"/>
        <charset val="1"/>
      </rPr>
      <t xml:space="preserve">0276-47-1837</t>
    </r>
    <r>
      <rPr>
        <sz val="10"/>
        <rFont val="WenQuanYi Zen Hei"/>
        <family val="2"/>
      </rPr>
      <t xml:space="preserve">）への事前照会が必須。</t>
    </r>
  </si>
  <si>
    <t xml:space="preserve">https://www.city.ota.gunma.jp/page/1053359.html</t>
  </si>
  <si>
    <t xml:space="preserve">muni-saitama-tokorozawa-001</t>
  </si>
  <si>
    <t xml:space="preserve">所沢市</t>
  </si>
  <si>
    <t xml:space="preserve">危険物を含有する系統用蓄電池（コンテナ積み重ねは建築物扱いの場合あり）</t>
  </si>
  <si>
    <t xml:space="preserve">許可（第一種特定工作物として開発許可。市街化調整区域は許可基準未整備）</t>
  </si>
  <si>
    <r>
      <rPr>
        <sz val="10"/>
        <rFont val="WenQuanYi Zen Hei"/>
        <family val="2"/>
      </rPr>
      <t xml:space="preserve">所沢市の市街化調整区域は実質設置困難の可能性。開発指導課（</t>
    </r>
    <r>
      <rPr>
        <sz val="10"/>
        <rFont val="Meiryo"/>
        <family val="0"/>
        <charset val="1"/>
      </rPr>
      <t xml:space="preserve">04-2998-9379</t>
    </r>
    <r>
      <rPr>
        <sz val="10"/>
        <rFont val="WenQuanYi Zen Hei"/>
        <family val="2"/>
      </rPr>
      <t xml:space="preserve">）への事前照会が必須。</t>
    </r>
  </si>
  <si>
    <t xml:space="preserve">2026-03-24</t>
  </si>
  <si>
    <t xml:space="preserve">https://www.city.tokorozawa.saitama.jp/kurashi/jutaku/kaihatukyoka/keitouyoutikudenti_toriatukai.html</t>
  </si>
  <si>
    <t xml:space="preserve">pref-hyogo-001</t>
  </si>
  <si>
    <t xml:space="preserve">兵庫県所管区域の危険物含有系統用蓄電池（小売電気事業・特定卸供給事業用）</t>
  </si>
  <si>
    <t xml:space="preserve">兵庫県所管区域（神戸市・姫路市等の権者市を除く）の案件は県への事前照会が必須。市街化調整区域は実質設置困難の可能性。</t>
  </si>
  <si>
    <t xml:space="preserve">2026-06-05</t>
  </si>
  <si>
    <t xml:space="preserve">https://web.pref.hyogo.lg.jp/ks29/press/kaihatu_chikudenchi.html</t>
  </si>
  <si>
    <t xml:space="preserve">muni-hyogo-kobe-001</t>
  </si>
  <si>
    <t xml:space="preserve">神戸市</t>
  </si>
  <si>
    <r>
      <rPr>
        <sz val="10"/>
        <rFont val="WenQuanYi Zen Hei"/>
        <family val="2"/>
      </rPr>
      <t xml:space="preserve">市街化調整区域での開発（建築）許可</t>
    </r>
    <r>
      <rPr>
        <sz val="10"/>
        <rFont val="Meiryo"/>
        <family val="0"/>
        <charset val="1"/>
      </rPr>
      <t xml:space="preserve">Q&amp;A</t>
    </r>
    <r>
      <rPr>
        <sz val="10"/>
        <rFont val="WenQuanYi Zen Hei"/>
        <family val="2"/>
      </rPr>
      <t xml:space="preserve">（</t>
    </r>
    <r>
      <rPr>
        <sz val="10"/>
        <rFont val="Meiryo"/>
        <family val="0"/>
        <charset val="1"/>
      </rPr>
      <t xml:space="preserve">Q2-16 </t>
    </r>
    <r>
      <rPr>
        <sz val="10"/>
        <rFont val="WenQuanYi Zen Hei"/>
        <family val="2"/>
      </rPr>
      <t xml:space="preserve">系統用蓄電池）</t>
    </r>
  </si>
  <si>
    <t xml:space="preserve">許可（電気事業用は許可不要・それ以外は現段階で許可基準なし）</t>
  </si>
  <si>
    <t xml:space="preserve">神戸市の市街化調整区域は事業スキーム（発電事業届出の有無）で可否が分かれる。事前照会で用途整理を確認。</t>
  </si>
  <si>
    <t xml:space="preserve">https://www.city.kobe.lg.jp/a33173/business/kaihatsu/kaihatsukyoka/chosekuiki/qa.html</t>
  </si>
  <si>
    <t xml:space="preserve">muni-hyogo-kobe-002</t>
  </si>
  <si>
    <r>
      <rPr>
        <sz val="10"/>
        <rFont val="WenQuanYi Zen Hei"/>
        <family val="2"/>
      </rPr>
      <t xml:space="preserve">神戸市太陽光発電施設等の適正な設置及び維持管理に関する条例（</t>
    </r>
    <r>
      <rPr>
        <sz val="10"/>
        <rFont val="Meiryo"/>
        <family val="0"/>
        <charset val="1"/>
      </rPr>
      <t xml:space="preserve">2025</t>
    </r>
    <r>
      <rPr>
        <sz val="10"/>
        <rFont val="WenQuanYi Zen Hei"/>
        <family val="2"/>
      </rPr>
      <t xml:space="preserve">年</t>
    </r>
    <r>
      <rPr>
        <sz val="10"/>
        <rFont val="Meiryo"/>
        <family val="0"/>
        <charset val="1"/>
      </rPr>
      <t xml:space="preserve">7</t>
    </r>
    <r>
      <rPr>
        <sz val="10"/>
        <rFont val="WenQuanYi Zen Hei"/>
        <family val="2"/>
      </rPr>
      <t xml:space="preserve">月改正で蓄電所を対象に追加）</t>
    </r>
  </si>
  <si>
    <r>
      <rPr>
        <sz val="10"/>
        <rFont val="WenQuanYi Zen Hei"/>
        <family val="2"/>
      </rPr>
      <t xml:space="preserve">太陽光発電施設等に加え、</t>
    </r>
    <r>
      <rPr>
        <sz val="10"/>
        <rFont val="Meiryo"/>
        <family val="0"/>
        <charset val="1"/>
      </rPr>
      <t xml:space="preserve">2025</t>
    </r>
    <r>
      <rPr>
        <sz val="10"/>
        <rFont val="WenQuanYi Zen Hei"/>
        <family val="2"/>
      </rPr>
      <t xml:space="preserve">年</t>
    </r>
    <r>
      <rPr>
        <sz val="10"/>
        <rFont val="Meiryo"/>
        <family val="0"/>
        <charset val="1"/>
      </rPr>
      <t xml:space="preserve">7</t>
    </r>
    <r>
      <rPr>
        <sz val="10"/>
        <rFont val="WenQuanYi Zen Hei"/>
        <family val="2"/>
      </rPr>
      <t xml:space="preserve">月改正により蓄電所も規制対象</t>
    </r>
  </si>
  <si>
    <t xml:space="preserve">届出（条例に基づく設置手続き・基準適合）</t>
  </si>
  <si>
    <t xml:space="preserve">神戸市内の案件は開発許可の確認に加え本条例の手続き・基準を確認。太陽光条例に蓄電所を追加する改正方式は他都市へ波及しうる先行事例。</t>
  </si>
  <si>
    <t xml:space="preserve">2025-07-01</t>
  </si>
  <si>
    <t xml:space="preserve">https://www.city.kobe.lg.jp/a66958/business/kaihatsu/plan/sp.html</t>
  </si>
  <si>
    <t xml:space="preserve">muni-gunma-tatebayashi-001</t>
  </si>
  <si>
    <t xml:space="preserve">館林市</t>
  </si>
  <si>
    <t xml:space="preserve">電気事業用電気工作物（小売電気事業・特定卸供給事業を除く）に該当せず危険物を含有する系統用蓄電池コンテナ</t>
  </si>
  <si>
    <t xml:space="preserve">許可（第一種特定工作物として開発許可が必要な場合あり）</t>
  </si>
  <si>
    <r>
      <rPr>
        <sz val="10"/>
        <rFont val="WenQuanYi Zen Hei"/>
        <family val="2"/>
      </rPr>
      <t xml:space="preserve">館林市内の案件は都市計画課計画指導係（</t>
    </r>
    <r>
      <rPr>
        <sz val="10"/>
        <rFont val="Meiryo"/>
        <family val="0"/>
        <charset val="1"/>
      </rPr>
      <t xml:space="preserve">0276-47-5149</t>
    </r>
    <r>
      <rPr>
        <sz val="10"/>
        <rFont val="WenQuanYi Zen Hei"/>
        <family val="2"/>
      </rPr>
      <t xml:space="preserve">）への事前照会が必須。</t>
    </r>
  </si>
  <si>
    <t xml:space="preserve">2026-07-02</t>
  </si>
  <si>
    <t xml:space="preserve">https://www.city.tatebayashi.gunma.jp/s062/jigyousya/060/060/130/180/20260702110114.html</t>
  </si>
  <si>
    <t xml:space="preserve">muni-akita-katagami-001</t>
  </si>
  <si>
    <t xml:space="preserve">秋田県</t>
  </si>
  <si>
    <t xml:space="preserve">潟上市</t>
  </si>
  <si>
    <t xml:space="preserve">電気事業用電気工作物に該当せず危険物を含有する蓄電池コンテナ（複数積み重ねは建築物扱い）</t>
  </si>
  <si>
    <t xml:space="preserve">許可（第一種特定工作物として一定規模以上の開発行為に開発許可。市街化調整区域は許可基準未整備）</t>
  </si>
  <si>
    <r>
      <rPr>
        <sz val="10"/>
        <rFont val="WenQuanYi Zen Hei"/>
        <family val="2"/>
      </rPr>
      <t xml:space="preserve">潟上市の市街化調整区域は実質設置困難の可能性。都市建設課都市計画班（</t>
    </r>
    <r>
      <rPr>
        <sz val="10"/>
        <rFont val="Meiryo"/>
        <family val="0"/>
        <charset val="1"/>
      </rPr>
      <t xml:space="preserve">018-853-5337)</t>
    </r>
    <r>
      <rPr>
        <sz val="10"/>
        <rFont val="WenQuanYi Zen Hei"/>
        <family val="2"/>
      </rPr>
      <t xml:space="preserve">への事前照会が必須。</t>
    </r>
  </si>
  <si>
    <t xml:space="preserve">2025-12-03</t>
  </si>
  <si>
    <t xml:space="preserve">https://www.city.katagami.lg.jp/soshiki/kensetsubu/toshikensetsu/toshikeikaku/toshikeikaku/5667.html</t>
  </si>
  <si>
    <t xml:space="preserve">muni-saitama-saitama-001</t>
  </si>
  <si>
    <t xml:space="preserve">さいたま市</t>
  </si>
  <si>
    <t xml:space="preserve">小売電気事業・特定卸供給事業用で危険物を含有する系統用蓄電池（コンテナ積み重ねは建築物扱い）</t>
  </si>
  <si>
    <t xml:space="preserve">許可（第一種特定工作物として開発許可。市街化調整区域は許可基準未整備＝設置不可）</t>
  </si>
  <si>
    <r>
      <rPr>
        <sz val="10"/>
        <rFont val="WenQuanYi Zen Hei"/>
        <family val="2"/>
      </rPr>
      <t xml:space="preserve">さいたま市の市街化調整区域は設置不可。北部（</t>
    </r>
    <r>
      <rPr>
        <sz val="10"/>
        <rFont val="Meiryo"/>
        <family val="0"/>
        <charset val="1"/>
      </rPr>
      <t xml:space="preserve">048-646-3184</t>
    </r>
    <r>
      <rPr>
        <sz val="10"/>
        <rFont val="WenQuanYi Zen Hei"/>
        <family val="2"/>
      </rPr>
      <t xml:space="preserve">）／南部（</t>
    </r>
    <r>
      <rPr>
        <sz val="10"/>
        <rFont val="Meiryo"/>
        <family val="0"/>
        <charset val="1"/>
      </rPr>
      <t xml:space="preserve">048-840-6184</t>
    </r>
    <r>
      <rPr>
        <sz val="10"/>
        <rFont val="WenQuanYi Zen Hei"/>
        <family val="2"/>
      </rPr>
      <t xml:space="preserve">）都市計画指導課への事前照会が必須。</t>
    </r>
  </si>
  <si>
    <t xml:space="preserve">2026-08-06</t>
  </si>
  <si>
    <t xml:space="preserve">https://www.city.saitama.lg.jp/005/003/021/001/p132748.html</t>
  </si>
  <si>
    <t xml:space="preserve">muni-chiba-sakura-001</t>
  </si>
  <si>
    <t xml:space="preserve">佐倉市</t>
  </si>
  <si>
    <r>
      <rPr>
        <sz val="10"/>
        <rFont val="WenQuanYi Zen Hei"/>
        <family val="2"/>
      </rPr>
      <t xml:space="preserve">系統用蓄電池の開発許可制度上の取扱いについて（</t>
    </r>
    <r>
      <rPr>
        <sz val="10"/>
        <rFont val="Meiryo"/>
        <family val="0"/>
        <charset val="1"/>
      </rPr>
      <t xml:space="preserve">FAQ Q9</t>
    </r>
    <r>
      <rPr>
        <sz val="10"/>
        <rFont val="WenQuanYi Zen Hei"/>
        <family val="2"/>
      </rPr>
      <t xml:space="preserve">）</t>
    </r>
  </si>
  <si>
    <t xml:space="preserve">電気事業法の電気工作物に該当せず危険物を含有する系統用蓄電池（量の多寡を問わない）</t>
  </si>
  <si>
    <r>
      <rPr>
        <sz val="10"/>
        <rFont val="WenQuanYi Zen Hei"/>
        <family val="2"/>
      </rPr>
      <t xml:space="preserve">佐倉市内の案件は市街地整備課（</t>
    </r>
    <r>
      <rPr>
        <sz val="10"/>
        <rFont val="Meiryo"/>
        <family val="0"/>
        <charset val="1"/>
      </rPr>
      <t xml:space="preserve">043-484-6167</t>
    </r>
    <r>
      <rPr>
        <sz val="10"/>
        <rFont val="WenQuanYi Zen Hei"/>
        <family val="2"/>
      </rPr>
      <t xml:space="preserve">）への事前照会が必須。</t>
    </r>
  </si>
  <si>
    <t xml:space="preserve">https://www.city.sakura.lg.jp/soshiki/shigaichiseibika/otoiawase/19447.html</t>
  </si>
  <si>
    <t xml:space="preserve">muni-yamagata-sakata-001</t>
  </si>
  <si>
    <t xml:space="preserve">山形県</t>
  </si>
  <si>
    <t xml:space="preserve">酒田市</t>
  </si>
  <si>
    <t xml:space="preserve">開発許可制度上の系統用蓄電池の取扱いについて</t>
  </si>
  <si>
    <t xml:space="preserve">危険物を含有し電気事業法の電気工作物に該当しない系統用蓄電池（コンテナ積み重ねは建築物扱い）</t>
  </si>
  <si>
    <t xml:space="preserve">許可（第一種特定工作物または建築物として開発許可。市街化調整区域は許可基準未整備＝実質設置不可）</t>
  </si>
  <si>
    <r>
      <rPr>
        <sz val="10"/>
        <rFont val="WenQuanYi Zen Hei"/>
        <family val="2"/>
      </rPr>
      <t xml:space="preserve">酒田市の市街化調整区域は実質設置不可。都市デザイン課計画係（</t>
    </r>
    <r>
      <rPr>
        <sz val="10"/>
        <rFont val="Meiryo"/>
        <family val="0"/>
        <charset val="1"/>
      </rPr>
      <t xml:space="preserve">0234-26-5746</t>
    </r>
    <r>
      <rPr>
        <sz val="10"/>
        <rFont val="WenQuanYi Zen Hei"/>
        <family val="2"/>
      </rPr>
      <t xml:space="preserve">）への事前協議が必須（必要書類が明示されている）。</t>
    </r>
  </si>
  <si>
    <t xml:space="preserve">2026-03-21</t>
  </si>
  <si>
    <t xml:space="preserve">https://www.city.sakata.lg.jp/jyutaku/toshikeikaku/kaihatdukyoka/kaihatsu_tikudenti.html</t>
  </si>
  <si>
    <t xml:space="preserve">主体</t>
  </si>
  <si>
    <t xml:space="preserve">段階</t>
  </si>
  <si>
    <r>
      <rPr>
        <b val="true"/>
        <sz val="10"/>
        <color rgb="FFFFFFFF"/>
        <rFont val="WenQuanYi Zen Hei"/>
        <family val="2"/>
      </rPr>
      <t xml:space="preserve">締切</t>
    </r>
    <r>
      <rPr>
        <b val="true"/>
        <sz val="10"/>
        <color rgb="FFFFFFFF"/>
        <rFont val="Meiryo"/>
        <family val="0"/>
        <charset val="1"/>
      </rPr>
      <t xml:space="preserve">/</t>
    </r>
    <r>
      <rPr>
        <b val="true"/>
        <sz val="10"/>
        <color rgb="FFFFFFFF"/>
        <rFont val="WenQuanYi Zen Hei"/>
        <family val="2"/>
      </rPr>
      <t xml:space="preserve">期日</t>
    </r>
  </si>
  <si>
    <t xml:space="preserve">概要</t>
  </si>
  <si>
    <t xml:space="preserve">監視理由</t>
  </si>
  <si>
    <r>
      <rPr>
        <b val="true"/>
        <sz val="10"/>
        <color rgb="FFFFFFFF"/>
        <rFont val="WenQuanYi Zen Hei"/>
        <family val="2"/>
      </rPr>
      <t xml:space="preserve">今回確認（</t>
    </r>
    <r>
      <rPr>
        <b val="true"/>
        <sz val="10"/>
        <color rgb="FFFFFFFF"/>
        <rFont val="Meiryo"/>
        <family val="0"/>
        <charset val="1"/>
      </rPr>
      <t xml:space="preserve">2026-08-24</t>
    </r>
    <r>
      <rPr>
        <b val="true"/>
        <sz val="10"/>
        <color rgb="FFFFFFFF"/>
        <rFont val="WenQuanYi Zen Hei"/>
        <family val="2"/>
      </rPr>
      <t xml:space="preserve">）</t>
    </r>
  </si>
  <si>
    <t xml:space="preserve">情報級</t>
  </si>
  <si>
    <t xml:space="preserve">pl-001</t>
  </si>
  <si>
    <t xml:space="preserve">蓄電所の保安規程に関する電気事業法施行規則の改正案</t>
  </si>
  <si>
    <t xml:space="preserve">パブコメ終了・結果待ち</t>
  </si>
  <si>
    <t xml:space="preserve">2026-01-15</t>
  </si>
  <si>
    <r>
      <rPr>
        <sz val="10"/>
        <rFont val="WenQuanYi Zen Hei"/>
        <family val="2"/>
      </rPr>
      <t xml:space="preserve">蓄電所の保安規程関連の省令改正案が</t>
    </r>
    <r>
      <rPr>
        <sz val="10"/>
        <rFont val="Meiryo"/>
        <family val="0"/>
        <charset val="1"/>
      </rPr>
      <t xml:space="preserve">2026</t>
    </r>
    <r>
      <rPr>
        <sz val="10"/>
        <rFont val="WenQuanYi Zen Hei"/>
        <family val="2"/>
      </rPr>
      <t xml:space="preserve">年</t>
    </r>
    <r>
      <rPr>
        <sz val="10"/>
        <rFont val="Meiryo"/>
        <family val="0"/>
        <charset val="1"/>
      </rPr>
      <t xml:space="preserve">1</t>
    </r>
    <r>
      <rPr>
        <sz val="10"/>
        <rFont val="WenQuanYi Zen Hei"/>
        <family val="2"/>
      </rPr>
      <t xml:space="preserve">月</t>
    </r>
    <r>
      <rPr>
        <sz val="10"/>
        <rFont val="Meiryo"/>
        <family val="0"/>
        <charset val="1"/>
      </rPr>
      <t xml:space="preserve">15</t>
    </r>
    <r>
      <rPr>
        <sz val="10"/>
        <rFont val="WenQuanYi Zen Hei"/>
        <family val="2"/>
      </rPr>
      <t xml:space="preserve">日締切でパブコメ実施との情報（業界カレンダー由来の二次情報）。</t>
    </r>
    <r>
      <rPr>
        <sz val="10"/>
        <rFont val="Meiryo"/>
        <family val="0"/>
        <charset val="1"/>
      </rPr>
      <t xml:space="preserve">e-Gov</t>
    </r>
    <r>
      <rPr>
        <sz val="10"/>
        <rFont val="WenQuanYi Zen Hei"/>
        <family val="2"/>
      </rPr>
      <t xml:space="preserve">での結果公示と改正内容の確認が必要。</t>
    </r>
  </si>
  <si>
    <t xml:space="preserve">保安規程・技術基準の変更は全案件の電気事業法手続き・設備仕様に直結する。</t>
  </si>
  <si>
    <r>
      <rPr>
        <sz val="10"/>
        <rFont val="WenQuanYi Zen Hei"/>
        <family val="2"/>
      </rPr>
      <t xml:space="preserve">結果公示・省令公布の新情報なし。</t>
    </r>
    <r>
      <rPr>
        <sz val="10"/>
        <rFont val="Meiryo"/>
        <family val="0"/>
        <charset val="1"/>
      </rPr>
      <t xml:space="preserve">e-Gov</t>
    </r>
    <r>
      <rPr>
        <sz val="10"/>
        <rFont val="WenQuanYi Zen Hei"/>
        <family val="2"/>
      </rPr>
      <t xml:space="preserve">詳細（案件番号</t>
    </r>
    <r>
      <rPr>
        <sz val="10"/>
        <rFont val="Meiryo"/>
        <family val="0"/>
        <charset val="1"/>
      </rPr>
      <t xml:space="preserve">620126001</t>
    </r>
    <r>
      <rPr>
        <sz val="10"/>
        <rFont val="WenQuanYi Zen Hei"/>
        <family val="2"/>
      </rPr>
      <t xml:space="preserve">）はシステムエラーで内容確認不可→次回再確認。</t>
    </r>
  </si>
  <si>
    <t xml:space="preserve">二次情報</t>
  </si>
  <si>
    <t xml:space="preserve">pl-002</t>
  </si>
  <si>
    <r>
      <rPr>
        <sz val="10"/>
        <rFont val="Meiryo"/>
        <family val="0"/>
        <charset val="1"/>
      </rPr>
      <t xml:space="preserve">OCCTO</t>
    </r>
    <r>
      <rPr>
        <sz val="10"/>
        <rFont val="WenQuanYi Zen Hei"/>
        <family val="2"/>
      </rPr>
      <t xml:space="preserve">（電力広域的運営推進機関）・資源エネルギー庁</t>
    </r>
  </si>
  <si>
    <t xml:space="preserve">蓄電システムの系統連系に関する技術要件ガイドライン改訂案</t>
  </si>
  <si>
    <t xml:space="preserve">系統連系技術要件ガイドラインの蓄電システム関連改訂で意見募集が実施されたとの検索結果。確定版の内容確認が必要。</t>
  </si>
  <si>
    <t xml:space="preserve">系統連系の技術要件変更は接続検討・設備設計に直結する。</t>
  </si>
  <si>
    <r>
      <rPr>
        <sz val="10"/>
        <rFont val="WenQuanYi Zen Hei"/>
        <family val="2"/>
      </rPr>
      <t xml:space="preserve">関連の動きが施行段階入り</t>
    </r>
    <r>
      <rPr>
        <sz val="10"/>
        <rFont val="Meiryo"/>
        <family val="0"/>
        <charset val="1"/>
      </rPr>
      <t xml:space="preserve">: </t>
    </r>
    <r>
      <rPr>
        <sz val="10"/>
        <rFont val="WenQuanYi Zen Hei"/>
        <family val="2"/>
      </rPr>
      <t xml:space="preserve">接続検討の件数上限が</t>
    </r>
    <r>
      <rPr>
        <sz val="10"/>
        <rFont val="Meiryo"/>
        <family val="0"/>
        <charset val="1"/>
      </rPr>
      <t xml:space="preserve">2026-08-01</t>
    </r>
    <r>
      <rPr>
        <sz val="10"/>
        <rFont val="WenQuanYi Zen Hei"/>
        <family val="2"/>
      </rPr>
      <t xml:space="preserve">運用開始。</t>
    </r>
    <r>
      <rPr>
        <sz val="10"/>
        <rFont val="Meiryo"/>
        <family val="0"/>
        <charset val="1"/>
      </rPr>
      <t xml:space="preserve">2026-10-01</t>
    </r>
    <r>
      <rPr>
        <sz val="10"/>
        <rFont val="WenQuanYi Zen Hei"/>
        <family val="2"/>
      </rPr>
      <t xml:space="preserve">から土地使用権限書類の義務化予定（②リスク一覧 </t>
    </r>
    <r>
      <rPr>
        <sz val="10"/>
        <rFont val="Meiryo"/>
        <family val="0"/>
        <charset val="1"/>
      </rPr>
      <t xml:space="preserve">No.2</t>
    </r>
    <r>
      <rPr>
        <sz val="10"/>
        <rFont val="WenQuanYi Zen Hei"/>
        <family val="2"/>
      </rPr>
      <t xml:space="preserve">・</t>
    </r>
    <r>
      <rPr>
        <sz val="10"/>
        <rFont val="Meiryo"/>
        <family val="0"/>
        <charset val="1"/>
      </rPr>
      <t xml:space="preserve">3</t>
    </r>
    <r>
      <rPr>
        <sz val="10"/>
        <rFont val="WenQuanYi Zen Hei"/>
        <family val="2"/>
      </rPr>
      <t xml:space="preserve">参照）。</t>
    </r>
  </si>
  <si>
    <t xml:space="preserve">pl-003</t>
  </si>
  <si>
    <t xml:space="preserve">遠野市</t>
  </si>
  <si>
    <t xml:space="preserve">再生可能エネルギーの地域との共生及び活用に関する条例の蓄電池適用</t>
  </si>
  <si>
    <t xml:space="preserve">適用範囲要確認</t>
  </si>
  <si>
    <r>
      <rPr>
        <sz val="10"/>
        <rFont val="WenQuanYi Zen Hei"/>
        <family val="2"/>
      </rPr>
      <t xml:space="preserve">条例の存在は確認済みだが、対象設備に蓄電池・蓄電所が含まれるかは例規集サイトが機械アクセスを拒否するため未確認。市内で大規模系統用蓄電所が</t>
    </r>
    <r>
      <rPr>
        <sz val="10"/>
        <rFont val="Meiryo"/>
        <family val="0"/>
        <charset val="1"/>
      </rPr>
      <t xml:space="preserve">2025</t>
    </r>
    <r>
      <rPr>
        <sz val="10"/>
        <rFont val="WenQuanYi Zen Hei"/>
        <family val="2"/>
      </rPr>
      <t xml:space="preserve">年</t>
    </r>
    <r>
      <rPr>
        <sz val="10"/>
        <rFont val="Meiryo"/>
        <family val="0"/>
        <charset val="1"/>
      </rPr>
      <t xml:space="preserve">6</t>
    </r>
    <r>
      <rPr>
        <sz val="10"/>
        <rFont val="WenQuanYi Zen Hei"/>
        <family val="2"/>
      </rPr>
      <t xml:space="preserve">月に稼働済み。</t>
    </r>
  </si>
  <si>
    <t xml:space="preserve">開発許可権者でない市の独自条例ルートの代表例。蓄電池が対象なら届出・協定等の手続きが発生。</t>
  </si>
  <si>
    <t xml:space="preserve">新情報なし。例規集の機械アクセス拒否は継続→窓口照会または手動閲覧を推奨。</t>
  </si>
  <si>
    <t xml:space="preserve">一次情報</t>
  </si>
  <si>
    <t xml:space="preserve">pl-004</t>
  </si>
  <si>
    <t xml:space="preserve">自然・地域と再生可能エネルギーとの共生に関する条例の蓄電池適用</t>
  </si>
  <si>
    <r>
      <rPr>
        <sz val="10"/>
        <rFont val="WenQuanYi Zen Hei"/>
        <family val="2"/>
      </rPr>
      <t xml:space="preserve">太陽光</t>
    </r>
    <r>
      <rPr>
        <sz val="10"/>
        <rFont val="Meiryo"/>
        <family val="0"/>
        <charset val="1"/>
      </rPr>
      <t xml:space="preserve">2MW</t>
    </r>
    <r>
      <rPr>
        <sz val="10"/>
        <rFont val="WenQuanYi Zen Hei"/>
        <family val="2"/>
      </rPr>
      <t xml:space="preserve">以上・風力</t>
    </r>
    <r>
      <rPr>
        <sz val="10"/>
        <rFont val="Meiryo"/>
        <family val="0"/>
        <charset val="1"/>
      </rPr>
      <t xml:space="preserve">500kW</t>
    </r>
    <r>
      <rPr>
        <sz val="10"/>
        <rFont val="WenQuanYi Zen Hei"/>
        <family val="2"/>
      </rPr>
      <t xml:space="preserve">以上を対象とする再エネ共生条例を制定済み。系統用蓄電池が対象に含まれるか、改正で追加される予定がないかは未確認。</t>
    </r>
  </si>
  <si>
    <t xml:space="preserve">県レベルの共生条例に蓄電池が追加されると県内全域の案件に協議・共生手続きが発生。</t>
  </si>
  <si>
    <r>
      <rPr>
        <sz val="10"/>
        <rFont val="WenQuanYi Zen Hei"/>
        <family val="2"/>
      </rPr>
      <t xml:space="preserve">新情報なし（条例は</t>
    </r>
    <r>
      <rPr>
        <sz val="10"/>
        <rFont val="Meiryo"/>
        <family val="0"/>
        <charset val="1"/>
      </rPr>
      <t xml:space="preserve">2025-10-07</t>
    </r>
    <r>
      <rPr>
        <sz val="10"/>
        <rFont val="WenQuanYi Zen Hei"/>
        <family val="2"/>
      </rPr>
      <t xml:space="preserve">施行済み・蓄電池対象化の動きは未検出）。</t>
    </r>
  </si>
  <si>
    <t xml:space="preserve">pl-005</t>
  </si>
  <si>
    <t xml:space="preserve">仙台市</t>
  </si>
  <si>
    <t xml:space="preserve">太陽光発電事業の導入促進条例の蓄電池適用</t>
  </si>
  <si>
    <r>
      <rPr>
        <sz val="10"/>
        <rFont val="WenQuanYi Zen Hei"/>
        <family val="2"/>
      </rPr>
      <t xml:space="preserve">「太陽光発電事業の健全かつ適正な導入、運用等の促進に関する条例」の対象に蓄電池が含まれるか未確認。火災予防条例の蓄電池設備基準は</t>
    </r>
    <r>
      <rPr>
        <sz val="10"/>
        <rFont val="Meiryo"/>
        <family val="0"/>
        <charset val="1"/>
      </rPr>
      <t xml:space="preserve">2023</t>
    </r>
    <r>
      <rPr>
        <sz val="10"/>
        <rFont val="WenQuanYi Zen Hei"/>
        <family val="2"/>
      </rPr>
      <t xml:space="preserve">年</t>
    </r>
    <r>
      <rPr>
        <sz val="10"/>
        <rFont val="Meiryo"/>
        <family val="0"/>
        <charset val="1"/>
      </rPr>
      <t xml:space="preserve">10</t>
    </r>
    <r>
      <rPr>
        <sz val="10"/>
        <rFont val="WenQuanYi Zen Hei"/>
        <family val="2"/>
      </rPr>
      <t xml:space="preserve">月に改正済み。</t>
    </r>
  </si>
  <si>
    <r>
      <rPr>
        <sz val="10"/>
        <rFont val="WenQuanYi Zen Hei"/>
        <family val="2"/>
      </rPr>
      <t xml:space="preserve">パブコメ結果は</t>
    </r>
    <r>
      <rPr>
        <sz val="10"/>
        <rFont val="Meiryo"/>
        <family val="0"/>
        <charset val="1"/>
      </rPr>
      <t xml:space="preserve">2026-04-22</t>
    </r>
    <r>
      <rPr>
        <sz val="10"/>
        <rFont val="WenQuanYi Zen Hei"/>
        <family val="2"/>
      </rPr>
      <t xml:space="preserve">公表済み（</t>
    </r>
    <r>
      <rPr>
        <sz val="10"/>
        <rFont val="Meiryo"/>
        <family val="0"/>
        <charset val="1"/>
      </rPr>
      <t xml:space="preserve">35</t>
    </r>
    <r>
      <rPr>
        <sz val="10"/>
        <rFont val="WenQuanYi Zen Hei"/>
        <family val="2"/>
      </rPr>
      <t xml:space="preserve">名・</t>
    </r>
    <r>
      <rPr>
        <sz val="10"/>
        <rFont val="Meiryo"/>
        <family val="0"/>
        <charset val="1"/>
      </rPr>
      <t xml:space="preserve">93</t>
    </r>
    <r>
      <rPr>
        <sz val="10"/>
        <rFont val="WenQuanYi Zen Hei"/>
        <family val="2"/>
      </rPr>
      <t xml:space="preserve">件）。蓄電池適用の確定内容は要確認。</t>
    </r>
  </si>
  <si>
    <t xml:space="preserve">pl-006</t>
  </si>
  <si>
    <t xml:space="preserve">東広島市</t>
  </si>
  <si>
    <t xml:space="preserve">開発許可制度における運用基準集の系統用蓄電池記載</t>
  </si>
  <si>
    <t xml:space="preserve">検討情報あり</t>
  </si>
  <si>
    <t xml:space="preserve">開発許可制度の運用基準集に系統用蓄電池の記載がある可能性が検索結果で示唆された。基準集本文の確認が必要。</t>
  </si>
  <si>
    <t xml:space="preserve">記載があれば台帳収録対象（開発許可運用型）。</t>
  </si>
  <si>
    <t xml:space="preserve">新情報なし。</t>
  </si>
  <si>
    <t xml:space="preserve">pl-007</t>
  </si>
  <si>
    <t xml:space="preserve">関ケ原町</t>
  </si>
  <si>
    <t xml:space="preserve">系統用蓄電池の取扱いの公表の可能性</t>
  </si>
  <si>
    <t xml:space="preserve">複数の検索結果に関ケ原町の名前が出現。公表ページの特定に至っていない（開発許可権者ではないため岐阜県経由の事務処理か独自公表かも未確認）。</t>
  </si>
  <si>
    <t xml:space="preserve">確認できれば権者外の独自公表として台帳収録対象。</t>
  </si>
  <si>
    <r>
      <rPr>
        <sz val="10"/>
        <rFont val="WenQuanYi Zen Hei"/>
        <family val="2"/>
      </rPr>
      <t xml:space="preserve">町ページ（</t>
    </r>
    <r>
      <rPr>
        <sz val="10"/>
        <rFont val="Meiryo"/>
        <family val="0"/>
        <charset val="1"/>
      </rPr>
      <t xml:space="preserve">2026-02-19</t>
    </r>
    <r>
      <rPr>
        <sz val="10"/>
        <rFont val="WenQuanYi Zen Hei"/>
        <family val="2"/>
      </rPr>
      <t xml:space="preserve">更新）に変化なし。</t>
    </r>
  </si>
  <si>
    <t xml:space="preserve">pl-008</t>
  </si>
  <si>
    <t xml:space="preserve">松田町</t>
  </si>
  <si>
    <t xml:space="preserve">再エネ導入促進計画のパブコメ（太陽光・蓄電池の記述追記）</t>
  </si>
  <si>
    <t xml:space="preserve">対象外判定（対象外）</t>
  </si>
  <si>
    <r>
      <rPr>
        <sz val="10"/>
        <rFont val="WenQuanYi Zen Hei"/>
        <family val="2"/>
      </rPr>
      <t xml:space="preserve">パブコメ後修正表を一次情報で確認した結果、「太陽光発電設備と蓄電池の設置について追記」は促進計画の普及啓発コラムへの追記であり、設置規制・許可・届出ではないと判定（</t>
    </r>
    <r>
      <rPr>
        <sz val="10"/>
        <rFont val="Meiryo"/>
        <family val="0"/>
        <charset val="1"/>
      </rPr>
      <t xml:space="preserve">2026-08-22</t>
    </r>
    <r>
      <rPr>
        <sz val="10"/>
        <rFont val="WenQuanYi Zen Hei"/>
        <family val="2"/>
      </rPr>
      <t xml:space="preserve">）。</t>
    </r>
  </si>
  <si>
    <t xml:space="preserve">判定ログとして保持（週次スイープが同じ候補を規制と再誤認しないため）。</t>
  </si>
  <si>
    <t xml:space="preserve">（対象外判定済みのログ）</t>
  </si>
  <si>
    <t xml:space="preserve">https://town.matsuda.kanagawa.jp/uploaded/attachment/17082.pdf</t>
  </si>
  <si>
    <t xml:space="preserve">権者名</t>
  </si>
  <si>
    <t xml:space="preserve">巡回組</t>
  </si>
  <si>
    <t xml:space="preserve">調査状況</t>
  </si>
  <si>
    <t xml:space="preserve">最終巡回日</t>
  </si>
  <si>
    <r>
      <rPr>
        <b val="true"/>
        <sz val="10"/>
        <color rgb="FFFFFFFF"/>
        <rFont val="WenQuanYi Zen Hei"/>
        <family val="2"/>
      </rPr>
      <t xml:space="preserve">公表</t>
    </r>
    <r>
      <rPr>
        <b val="true"/>
        <sz val="10"/>
        <color rgb="FFFFFFFF"/>
        <rFont val="Meiryo"/>
        <family val="0"/>
        <charset val="1"/>
      </rPr>
      <t xml:space="preserve">URL</t>
    </r>
  </si>
  <si>
    <t xml:space="preserve">備考</t>
  </si>
  <si>
    <t xml:space="preserve">kk-001</t>
  </si>
  <si>
    <t xml:space="preserve">北海道</t>
  </si>
  <si>
    <t xml:space="preserve">公表確認できず</t>
  </si>
  <si>
    <r>
      <rPr>
        <sz val="10"/>
        <rFont val="WenQuanYi Zen Hei"/>
        <family val="2"/>
      </rPr>
      <t xml:space="preserve">「系統用蓄電池 開発許可」「蓄電池 第一種特定工作物」「蓄電所 条例 規制」の</t>
    </r>
    <r>
      <rPr>
        <sz val="10"/>
        <rFont val="Meiryo"/>
        <family val="0"/>
        <charset val="1"/>
      </rPr>
      <t xml:space="preserve">3</t>
    </r>
    <r>
      <rPr>
        <sz val="10"/>
        <rFont val="WenQuanYi Zen Hei"/>
        <family val="2"/>
      </rPr>
      <t xml:space="preserve">クエリで検索。県公式サイト</t>
    </r>
    <r>
      <rPr>
        <sz val="10"/>
        <rFont val="Meiryo"/>
        <family val="0"/>
        <charset val="1"/>
      </rPr>
      <t xml:space="preserve">(pref.hokkaido.lg.jp)</t>
    </r>
    <r>
      <rPr>
        <sz val="10"/>
        <rFont val="WenQuanYi Zen Hei"/>
        <family val="2"/>
      </rPr>
      <t xml:space="preserve">に系統用蓄電池特化の開発許可取扱いページは確認できず。開発許可制度の手引きページ</t>
    </r>
    <r>
      <rPr>
        <sz val="10"/>
        <rFont val="Meiryo"/>
        <family val="0"/>
        <charset val="1"/>
      </rPr>
      <t xml:space="preserve">(https://www.pref.hokkaido.lg.jp/kn/tki/kaihatukyokaseidonotebiki.html)</t>
    </r>
    <r>
      <rPr>
        <sz val="10"/>
        <rFont val="WenQuanYi Zen Hei"/>
        <family val="2"/>
      </rPr>
      <t xml:space="preserve">も本文に系統用蓄電池の記載なし</t>
    </r>
  </si>
  <si>
    <t xml:space="preserve">kk-002</t>
  </si>
  <si>
    <r>
      <rPr>
        <sz val="10"/>
        <rFont val="Meiryo"/>
        <family val="0"/>
        <charset val="1"/>
      </rPr>
      <t xml:space="preserve">3</t>
    </r>
    <r>
      <rPr>
        <sz val="10"/>
        <rFont val="WenQuanYi Zen Hei"/>
        <family val="2"/>
      </rPr>
      <t xml:space="preserve">クエリで検索。県公式サイト</t>
    </r>
    <r>
      <rPr>
        <sz val="10"/>
        <rFont val="Meiryo"/>
        <family val="0"/>
        <charset val="1"/>
      </rPr>
      <t xml:space="preserve">(pref.aomori.lg.jp)</t>
    </r>
    <r>
      <rPr>
        <sz val="10"/>
        <rFont val="WenQuanYi Zen Hei"/>
        <family val="2"/>
      </rPr>
      <t xml:space="preserve">に系統用蓄電池特化の開発許可取扱いページは確認できず。県は「自然・地域と再生可能エネルギーとの共生に関する条例」（太陽光</t>
    </r>
    <r>
      <rPr>
        <sz val="10"/>
        <rFont val="Meiryo"/>
        <family val="0"/>
        <charset val="1"/>
      </rPr>
      <t xml:space="preserve">2MW</t>
    </r>
    <r>
      <rPr>
        <sz val="10"/>
        <rFont val="WenQuanYi Zen Hei"/>
        <family val="2"/>
      </rPr>
      <t xml:space="preserve">以上</t>
    </r>
    <r>
      <rPr>
        <sz val="10"/>
        <rFont val="Meiryo"/>
        <family val="0"/>
        <charset val="1"/>
      </rPr>
      <t xml:space="preserve">/</t>
    </r>
    <r>
      <rPr>
        <sz val="10"/>
        <rFont val="WenQuanYi Zen Hei"/>
        <family val="2"/>
      </rPr>
      <t xml:space="preserve">風力</t>
    </r>
    <r>
      <rPr>
        <sz val="10"/>
        <rFont val="Meiryo"/>
        <family val="0"/>
        <charset val="1"/>
      </rPr>
      <t xml:space="preserve">500kW</t>
    </r>
    <r>
      <rPr>
        <sz val="10"/>
        <rFont val="WenQuanYi Zen Hei"/>
        <family val="2"/>
      </rPr>
      <t xml:space="preserve">以上が対象）を制定済みだが、対象に系統用蓄電池が含まれるかは確認できていない。</t>
    </r>
  </si>
  <si>
    <t xml:space="preserve">kk-003</t>
  </si>
  <si>
    <t xml:space="preserve">岩手県</t>
  </si>
  <si>
    <r>
      <rPr>
        <sz val="10"/>
        <rFont val="Meiryo"/>
        <family val="0"/>
        <charset val="1"/>
      </rPr>
      <t xml:space="preserve">3</t>
    </r>
    <r>
      <rPr>
        <sz val="10"/>
        <rFont val="WenQuanYi Zen Hei"/>
        <family val="2"/>
      </rPr>
      <t xml:space="preserve">クエリで検索。県公式サイト</t>
    </r>
    <r>
      <rPr>
        <sz val="10"/>
        <rFont val="Meiryo"/>
        <family val="0"/>
        <charset val="1"/>
      </rPr>
      <t xml:space="preserve">(pref.iwate.jp)</t>
    </r>
    <r>
      <rPr>
        <sz val="10"/>
        <rFont val="WenQuanYi Zen Hei"/>
        <family val="2"/>
      </rPr>
      <t xml:space="preserve">に系統用蓄電池特化の開発許可取扱いページは確認できず。</t>
    </r>
  </si>
  <si>
    <t xml:space="preserve">kk-004</t>
  </si>
  <si>
    <t xml:space="preserve">宮城県</t>
  </si>
  <si>
    <r>
      <rPr>
        <sz val="10"/>
        <rFont val="Meiryo"/>
        <family val="0"/>
        <charset val="1"/>
      </rPr>
      <t xml:space="preserve">3</t>
    </r>
    <r>
      <rPr>
        <sz val="10"/>
        <rFont val="WenQuanYi Zen Hei"/>
        <family val="2"/>
      </rPr>
      <t xml:space="preserve">クエリで検索。県公式サイト</t>
    </r>
    <r>
      <rPr>
        <sz val="10"/>
        <rFont val="Meiryo"/>
        <family val="0"/>
        <charset val="1"/>
      </rPr>
      <t xml:space="preserve">(pref.miyagi.jp)</t>
    </r>
    <r>
      <rPr>
        <sz val="10"/>
        <rFont val="WenQuanYi Zen Hei"/>
        <family val="2"/>
      </rPr>
      <t xml:space="preserve">に系統用蓄電池特化の開発許可取扱いページは確認できず。県には「太陽光発電施設の設置等に関する条例」があるが蓄電池特化ではない。</t>
    </r>
  </si>
  <si>
    <t xml:space="preserve">kk-005</t>
  </si>
  <si>
    <r>
      <rPr>
        <sz val="10"/>
        <rFont val="Meiryo"/>
        <family val="0"/>
        <charset val="1"/>
      </rPr>
      <t xml:space="preserve">3</t>
    </r>
    <r>
      <rPr>
        <sz val="10"/>
        <rFont val="WenQuanYi Zen Hei"/>
        <family val="2"/>
      </rPr>
      <t xml:space="preserve">クエリで検索。県公式サイト</t>
    </r>
    <r>
      <rPr>
        <sz val="10"/>
        <rFont val="Meiryo"/>
        <family val="0"/>
        <charset val="1"/>
      </rPr>
      <t xml:space="preserve">(pref.akita.lg.jp)</t>
    </r>
    <r>
      <rPr>
        <sz val="10"/>
        <rFont val="WenQuanYi Zen Hei"/>
        <family val="2"/>
      </rPr>
      <t xml:space="preserve">の「都市計画法に基づく開発行為の許可について」</t>
    </r>
    <r>
      <rPr>
        <sz val="10"/>
        <rFont val="Meiryo"/>
        <family val="0"/>
        <charset val="1"/>
      </rPr>
      <t xml:space="preserve">(https://www.pref.akita.lg.jp/pages/archive/363)</t>
    </r>
    <r>
      <rPr>
        <sz val="10"/>
        <rFont val="WenQuanYi Zen Hei"/>
        <family val="2"/>
      </rPr>
      <t xml:space="preserve">を</t>
    </r>
    <r>
      <rPr>
        <sz val="10"/>
        <rFont val="Meiryo"/>
        <family val="0"/>
        <charset val="1"/>
      </rPr>
      <t xml:space="preserve">WebFetch</t>
    </r>
    <r>
      <rPr>
        <sz val="10"/>
        <rFont val="WenQuanYi Zen Hei"/>
        <family val="2"/>
      </rPr>
      <t xml:space="preserve">で確認したが系統用蓄電池の記載なし。</t>
    </r>
  </si>
  <si>
    <t xml:space="preserve">kk-006</t>
  </si>
  <si>
    <r>
      <rPr>
        <sz val="10"/>
        <rFont val="Meiryo"/>
        <family val="0"/>
        <charset val="1"/>
      </rPr>
      <t xml:space="preserve">3</t>
    </r>
    <r>
      <rPr>
        <sz val="10"/>
        <rFont val="WenQuanYi Zen Hei"/>
        <family val="2"/>
      </rPr>
      <t xml:space="preserve">クエリで検索。県公式サイト</t>
    </r>
    <r>
      <rPr>
        <sz val="10"/>
        <rFont val="Meiryo"/>
        <family val="0"/>
        <charset val="1"/>
      </rPr>
      <t xml:space="preserve">(pref.yamagata.jp)</t>
    </r>
    <r>
      <rPr>
        <sz val="10"/>
        <rFont val="WenQuanYi Zen Hei"/>
        <family val="2"/>
      </rPr>
      <t xml:space="preserve">の「開発許可の手引き」ページを</t>
    </r>
    <r>
      <rPr>
        <sz val="10"/>
        <rFont val="Meiryo"/>
        <family val="0"/>
        <charset val="1"/>
      </rPr>
      <t xml:space="preserve">WebFetch</t>
    </r>
    <r>
      <rPr>
        <sz val="10"/>
        <rFont val="WenQuanYi Zen Hei"/>
        <family val="2"/>
      </rPr>
      <t xml:space="preserve">で確認したが系統用蓄電池の記載なし（第一種特定工作物の一般的な例示のみ）。</t>
    </r>
  </si>
  <si>
    <t xml:space="preserve">kk-007</t>
  </si>
  <si>
    <r>
      <rPr>
        <sz val="10"/>
        <rFont val="Meiryo"/>
        <family val="0"/>
        <charset val="1"/>
      </rPr>
      <t xml:space="preserve">3</t>
    </r>
    <r>
      <rPr>
        <sz val="10"/>
        <rFont val="WenQuanYi Zen Hei"/>
        <family val="2"/>
      </rPr>
      <t xml:space="preserve">クエリで検索。県公式サイト</t>
    </r>
    <r>
      <rPr>
        <sz val="10"/>
        <rFont val="Meiryo"/>
        <family val="0"/>
        <charset val="1"/>
      </rPr>
      <t xml:space="preserve">(pref.fukushima.lg.jp)</t>
    </r>
    <r>
      <rPr>
        <sz val="10"/>
        <rFont val="WenQuanYi Zen Hei"/>
        <family val="2"/>
      </rPr>
      <t xml:space="preserve">の「開発許可制度」ページ</t>
    </r>
    <r>
      <rPr>
        <sz val="10"/>
        <rFont val="Meiryo"/>
        <family val="0"/>
        <charset val="1"/>
      </rPr>
      <t xml:space="preserve">(https://www.pref.fukushima.lg.jp/sec/41055a/kyoka.html)</t>
    </r>
    <r>
      <rPr>
        <sz val="10"/>
        <rFont val="WenQuanYi Zen Hei"/>
        <family val="2"/>
      </rPr>
      <t xml:space="preserve">を</t>
    </r>
    <r>
      <rPr>
        <sz val="10"/>
        <rFont val="Meiryo"/>
        <family val="0"/>
        <charset val="1"/>
      </rPr>
      <t xml:space="preserve">WebFetch</t>
    </r>
    <r>
      <rPr>
        <sz val="10"/>
        <rFont val="WenQuanYi Zen Hei"/>
        <family val="2"/>
      </rPr>
      <t xml:space="preserve">で確認したが系統用蓄電池の記載なし（第一種特定工作物の一般的な例示のみ）。なお福島市（市）は独自ガイドラインを公表済み（別行参照）。</t>
    </r>
  </si>
  <si>
    <t xml:space="preserve">kk-008</t>
  </si>
  <si>
    <t xml:space="preserve">茨城県</t>
  </si>
  <si>
    <r>
      <rPr>
        <sz val="10"/>
        <rFont val="WenQuanYi Zen Hei"/>
        <family val="2"/>
      </rPr>
      <t xml:space="preserve">県公式サイトでの系統用蓄電池向け開発許可取扱いページは検索で見つからず。県サイトには太陽光発電設備に関する条例・ガイドライン紹介ページ（</t>
    </r>
    <r>
      <rPr>
        <sz val="10"/>
        <rFont val="Meiryo"/>
        <family val="0"/>
        <charset val="1"/>
      </rPr>
      <t xml:space="preserve">pref.ibaraki.jp</t>
    </r>
    <r>
      <rPr>
        <sz val="10"/>
        <rFont val="WenQuanYi Zen Hei"/>
        <family val="2"/>
      </rPr>
      <t xml:space="preserve">）はあるが蓄電池特化ではない。桶川市・高崎市など他自治体の同種ページはヒットするが茨城県自身のものは未確認。</t>
    </r>
  </si>
  <si>
    <t xml:space="preserve">kk-009</t>
  </si>
  <si>
    <t xml:space="preserve">栃木県</t>
  </si>
  <si>
    <r>
      <rPr>
        <sz val="10"/>
        <rFont val="WenQuanYi Zen Hei"/>
        <family val="2"/>
      </rPr>
      <t xml:space="preserve">県公式サイトでの系統用蓄電池向け開発許可取扱いページは検索で見つからず。県は太陽光発電施設の設置・運営等に関する指導指針（</t>
    </r>
    <r>
      <rPr>
        <sz val="10"/>
        <rFont val="Meiryo"/>
        <family val="0"/>
        <charset val="1"/>
      </rPr>
      <t xml:space="preserve">pref.tochigi.lg.jp</t>
    </r>
    <r>
      <rPr>
        <sz val="10"/>
        <rFont val="WenQuanYi Zen Hei"/>
        <family val="2"/>
      </rPr>
      <t xml:space="preserve">）を公表しているが蓄電池特化ではない。</t>
    </r>
  </si>
  <si>
    <t xml:space="preserve">kk-010</t>
  </si>
  <si>
    <r>
      <rPr>
        <sz val="10"/>
        <rFont val="WenQuanYi Zen Hei"/>
        <family val="2"/>
      </rPr>
      <t xml:space="preserve">群馬県庁（</t>
    </r>
    <r>
      <rPr>
        <sz val="10"/>
        <rFont val="Meiryo"/>
        <family val="0"/>
        <charset val="1"/>
      </rPr>
      <t xml:space="preserve">pref.gunma.jp</t>
    </r>
    <r>
      <rPr>
        <sz val="10"/>
        <rFont val="WenQuanYi Zen Hei"/>
        <family val="2"/>
      </rPr>
      <t xml:space="preserve">）自身の系統用蓄電池・開発許可取扱いページは検索で見つからず。県内では高崎市・太田市が市独自に開発許可の取扱いページを公表済み（別項目参照）。</t>
    </r>
  </si>
  <si>
    <t xml:space="preserve">kk-011</t>
  </si>
  <si>
    <r>
      <rPr>
        <sz val="10"/>
        <rFont val="WenQuanYi Zen Hei"/>
        <family val="2"/>
      </rPr>
      <t xml:space="preserve">埼玉県庁（</t>
    </r>
    <r>
      <rPr>
        <sz val="10"/>
        <rFont val="Meiryo"/>
        <family val="0"/>
        <charset val="1"/>
      </rPr>
      <t xml:space="preserve">pref.saitama.lg.jp</t>
    </r>
    <r>
      <rPr>
        <sz val="10"/>
        <rFont val="WenQuanYi Zen Hei"/>
        <family val="2"/>
      </rPr>
      <t xml:space="preserve">）自身の系統用蓄電池・開発許可取扱いページは検索で見つからず。県内では桶川市・所沢市が市独自の取扱いページを公表済み（所沢市は別項目参照）。</t>
    </r>
  </si>
  <si>
    <t xml:space="preserve">kk-012</t>
  </si>
  <si>
    <r>
      <rPr>
        <sz val="10"/>
        <rFont val="WenQuanYi Zen Hei"/>
        <family val="2"/>
      </rPr>
      <t xml:space="preserve">「系統用蓄電池 開発許可」「蓄電池 第一種特定工作物」「蓄電所 条例 規制」の</t>
    </r>
    <r>
      <rPr>
        <sz val="10"/>
        <rFont val="Meiryo"/>
        <family val="0"/>
        <charset val="1"/>
      </rPr>
      <t xml:space="preserve">3</t>
    </r>
    <r>
      <rPr>
        <sz val="10"/>
        <rFont val="WenQuanYi Zen Hei"/>
        <family val="2"/>
      </rPr>
      <t xml:space="preserve">検索で千葉県（都道府県）自身の公式ページは検索結果に出現せず。ヒットしたのは千葉市（政令市・中核市として独自に開発許可権者）のページのみで、県が独自に公表しているものではない。</t>
    </r>
  </si>
  <si>
    <t xml:space="preserve">kk-013</t>
  </si>
  <si>
    <t xml:space="preserve">東京都</t>
  </si>
  <si>
    <r>
      <rPr>
        <sz val="10"/>
        <rFont val="WenQuanYi Zen Hei"/>
        <family val="2"/>
      </rPr>
      <t xml:space="preserve">「系統用蓄電池 開発許可」「蓄電池 第一種特定工作物」の</t>
    </r>
    <r>
      <rPr>
        <sz val="10"/>
        <rFont val="Meiryo"/>
        <family val="0"/>
        <charset val="1"/>
      </rPr>
      <t xml:space="preserve">2</t>
    </r>
    <r>
      <rPr>
        <sz val="10"/>
        <rFont val="WenQuanYi Zen Hei"/>
        <family val="2"/>
      </rPr>
      <t xml:space="preserve">検索で東京都都市整備局等による系統用蓄電池の開発許可取扱いページは検索結果に出現せず。ヒットしたのは国交省技術的助言</t>
    </r>
    <r>
      <rPr>
        <sz val="10"/>
        <rFont val="Meiryo"/>
        <family val="0"/>
        <charset val="1"/>
      </rPr>
      <t xml:space="preserve">PDF</t>
    </r>
    <r>
      <rPr>
        <sz val="10"/>
        <rFont val="WenQuanYi Zen Hei"/>
        <family val="2"/>
      </rPr>
      <t xml:space="preserve">（</t>
    </r>
    <r>
      <rPr>
        <sz val="10"/>
        <rFont val="Meiryo"/>
        <family val="0"/>
        <charset val="1"/>
      </rPr>
      <t xml:space="preserve">mlit.go.jp</t>
    </r>
    <r>
      <rPr>
        <sz val="10"/>
        <rFont val="WenQuanYi Zen Hei"/>
        <family val="2"/>
      </rPr>
      <t xml:space="preserve">）や他自治体（三田市、桶川市）のページ、および東京都の系統用大規模蓄電池導入支援事業（補助金、</t>
    </r>
    <r>
      <rPr>
        <sz val="10"/>
        <rFont val="Meiryo"/>
        <family val="0"/>
        <charset val="1"/>
      </rPr>
      <t xml:space="preserve">metro.tokyo.lg.jp</t>
    </r>
    <r>
      <rPr>
        <sz val="10"/>
        <rFont val="WenQuanYi Zen Hei"/>
        <family val="2"/>
      </rPr>
      <t xml:space="preserve">）で、開発許可の取扱いとは別制度。検索予算の都合で</t>
    </r>
    <r>
      <rPr>
        <sz val="10"/>
        <rFont val="Meiryo"/>
        <family val="0"/>
        <charset val="1"/>
      </rPr>
      <t xml:space="preserve">3</t>
    </r>
    <r>
      <rPr>
        <sz val="10"/>
        <rFont val="WenQuanYi Zen Hei"/>
        <family val="2"/>
      </rPr>
      <t xml:space="preserve">回目の検索は実施で</t>
    </r>
  </si>
  <si>
    <t xml:space="preserve">kk-014</t>
  </si>
  <si>
    <t xml:space="preserve">神奈川県</t>
  </si>
  <si>
    <r>
      <rPr>
        <sz val="10"/>
        <rFont val="WenQuanYi Zen Hei"/>
        <family val="2"/>
      </rPr>
      <t xml:space="preserve">「系統用蓄電池 開発許可」「蓄電池 第一種特定工作物」の</t>
    </r>
    <r>
      <rPr>
        <sz val="10"/>
        <rFont val="Meiryo"/>
        <family val="0"/>
        <charset val="1"/>
      </rPr>
      <t xml:space="preserve">2</t>
    </r>
    <r>
      <rPr>
        <sz val="10"/>
        <rFont val="WenQuanYi Zen Hei"/>
        <family val="2"/>
      </rPr>
      <t xml:space="preserve">検索で神奈川県（都道府県）自身の開発許可取扱いページは検索結果に出現せず。ヒットは住宅用太陽光・蓄電池補助金ページ（</t>
    </r>
    <r>
      <rPr>
        <sz val="10"/>
        <rFont val="Meiryo"/>
        <family val="0"/>
        <charset val="1"/>
      </rPr>
      <t xml:space="preserve">pref.kanagawa.jp</t>
    </r>
    <r>
      <rPr>
        <sz val="10"/>
        <rFont val="WenQuanYi Zen Hei"/>
        <family val="2"/>
      </rPr>
      <t xml:space="preserve">）や他自治体（桶川市）のページのみ。検索予算の都合で</t>
    </r>
    <r>
      <rPr>
        <sz val="10"/>
        <rFont val="Meiryo"/>
        <family val="0"/>
        <charset val="1"/>
      </rPr>
      <t xml:space="preserve">3</t>
    </r>
    <r>
      <rPr>
        <sz val="10"/>
        <rFont val="WenQuanYi Zen Hei"/>
        <family val="2"/>
      </rPr>
      <t xml:space="preserve">回目の検索は実施できず。</t>
    </r>
  </si>
  <si>
    <t xml:space="preserve">kk-015</t>
  </si>
  <si>
    <t xml:space="preserve">新潟県</t>
  </si>
  <si>
    <r>
      <rPr>
        <sz val="10"/>
        <rFont val="WenQuanYi Zen Hei"/>
        <family val="2"/>
      </rPr>
      <t xml:space="preserve">「新潟県 系統用蓄電池 開発許可」「新潟県 蓄電池 第一種特定工作物」で検索したが、新潟県自身が公表した開発許可の取扱い・条例等のページはヒットせず。県の補助金関連ページのみ確認。</t>
    </r>
    <r>
      <rPr>
        <sz val="10"/>
        <rFont val="Meiryo"/>
        <family val="0"/>
        <charset val="1"/>
      </rPr>
      <t xml:space="preserve">WebSearch</t>
    </r>
    <r>
      <rPr>
        <sz val="10"/>
        <rFont val="WenQuanYi Zen Hei"/>
        <family val="2"/>
      </rPr>
      <t xml:space="preserve">予算切れのため追加検索（</t>
    </r>
    <r>
      <rPr>
        <sz val="10"/>
        <rFont val="Meiryo"/>
        <family val="0"/>
        <charset val="1"/>
      </rPr>
      <t xml:space="preserve">3</t>
    </r>
    <r>
      <rPr>
        <sz val="10"/>
        <rFont val="WenQuanYi Zen Hei"/>
        <family val="2"/>
      </rPr>
      <t xml:space="preserve">回目）未実施。</t>
    </r>
  </si>
  <si>
    <t xml:space="preserve">kk-016</t>
  </si>
  <si>
    <t xml:space="preserve">富山県</t>
  </si>
  <si>
    <r>
      <rPr>
        <sz val="10"/>
        <rFont val="WenQuanYi Zen Hei"/>
        <family val="2"/>
      </rPr>
      <t xml:space="preserve">「富山県 系統用蓄電池 開発許可」「富山県 蓄電池 第一種特定工作物」で検索したが、富山県自身の公表ページはヒットせず（他自治体の類似ページのみ）。</t>
    </r>
    <r>
      <rPr>
        <sz val="10"/>
        <rFont val="Meiryo"/>
        <family val="0"/>
        <charset val="1"/>
      </rPr>
      <t xml:space="preserve">WebSearch</t>
    </r>
    <r>
      <rPr>
        <sz val="10"/>
        <rFont val="WenQuanYi Zen Hei"/>
        <family val="2"/>
      </rPr>
      <t xml:space="preserve">予算切れのため</t>
    </r>
    <r>
      <rPr>
        <sz val="10"/>
        <rFont val="Meiryo"/>
        <family val="0"/>
        <charset val="1"/>
      </rPr>
      <t xml:space="preserve">3</t>
    </r>
    <r>
      <rPr>
        <sz val="10"/>
        <rFont val="WenQuanYi Zen Hei"/>
        <family val="2"/>
      </rPr>
      <t xml:space="preserve">回目未実施。</t>
    </r>
  </si>
  <si>
    <t xml:space="preserve">kk-017</t>
  </si>
  <si>
    <t xml:space="preserve">石川県</t>
  </si>
  <si>
    <r>
      <rPr>
        <sz val="10"/>
        <rFont val="WenQuanYi Zen Hei"/>
        <family val="2"/>
      </rPr>
      <t xml:space="preserve">「石川県 系統用蓄電池 開発許可」「石川県 蓄電池 第一種特定工作物」で検索したが、石川県自身の公表ページはヒットせず（加古川市・桶川市など他自治体の類似ページがヒット）。</t>
    </r>
    <r>
      <rPr>
        <sz val="10"/>
        <rFont val="Meiryo"/>
        <family val="0"/>
        <charset val="1"/>
      </rPr>
      <t xml:space="preserve">WebSearch</t>
    </r>
    <r>
      <rPr>
        <sz val="10"/>
        <rFont val="WenQuanYi Zen Hei"/>
        <family val="2"/>
      </rPr>
      <t xml:space="preserve">予算切れのため</t>
    </r>
    <r>
      <rPr>
        <sz val="10"/>
        <rFont val="Meiryo"/>
        <family val="0"/>
        <charset val="1"/>
      </rPr>
      <t xml:space="preserve">3</t>
    </r>
    <r>
      <rPr>
        <sz val="10"/>
        <rFont val="WenQuanYi Zen Hei"/>
        <family val="2"/>
      </rPr>
      <t xml:space="preserve">回目未実施。</t>
    </r>
  </si>
  <si>
    <t xml:space="preserve">kk-018</t>
  </si>
  <si>
    <t xml:space="preserve">福井県</t>
  </si>
  <si>
    <r>
      <rPr>
        <sz val="10"/>
        <rFont val="WenQuanYi Zen Hei"/>
        <family val="2"/>
      </rPr>
      <t xml:space="preserve">「福井県 系統用蓄電池 開発許可」「福井県 蓄電池 第一種特定工作物」で検索したが、福井県自身の公表ページはヒットせず（補助金ページや他自治体ページのみ）。</t>
    </r>
    <r>
      <rPr>
        <sz val="10"/>
        <rFont val="Meiryo"/>
        <family val="0"/>
        <charset val="1"/>
      </rPr>
      <t xml:space="preserve">WebSearch</t>
    </r>
    <r>
      <rPr>
        <sz val="10"/>
        <rFont val="WenQuanYi Zen Hei"/>
        <family val="2"/>
      </rPr>
      <t xml:space="preserve">予算切れのため</t>
    </r>
    <r>
      <rPr>
        <sz val="10"/>
        <rFont val="Meiryo"/>
        <family val="0"/>
        <charset val="1"/>
      </rPr>
      <t xml:space="preserve">3</t>
    </r>
    <r>
      <rPr>
        <sz val="10"/>
        <rFont val="WenQuanYi Zen Hei"/>
        <family val="2"/>
      </rPr>
      <t xml:space="preserve">回目未実施。</t>
    </r>
  </si>
  <si>
    <t xml:space="preserve">kk-019</t>
  </si>
  <si>
    <t xml:space="preserve">山梨県</t>
  </si>
  <si>
    <r>
      <rPr>
        <sz val="10"/>
        <rFont val="WenQuanYi Zen Hei"/>
        <family val="2"/>
      </rPr>
      <t xml:space="preserve">「山梨県 系統用蓄電池 開発許可」「山梨県 蓄電池 第一種特定工作物」で検索したが、山梨県自身の公表ページはヒットせず（大月市の系統用蓄電池プロジェクト着工ニュース等はヒットしたが県の制度公表ではない）。</t>
    </r>
    <r>
      <rPr>
        <sz val="10"/>
        <rFont val="Meiryo"/>
        <family val="0"/>
        <charset val="1"/>
      </rPr>
      <t xml:space="preserve">WebSearch</t>
    </r>
    <r>
      <rPr>
        <sz val="10"/>
        <rFont val="WenQuanYi Zen Hei"/>
        <family val="2"/>
      </rPr>
      <t xml:space="preserve">予算切れのため</t>
    </r>
    <r>
      <rPr>
        <sz val="10"/>
        <rFont val="Meiryo"/>
        <family val="0"/>
        <charset val="1"/>
      </rPr>
      <t xml:space="preserve">3</t>
    </r>
    <r>
      <rPr>
        <sz val="10"/>
        <rFont val="WenQuanYi Zen Hei"/>
        <family val="2"/>
      </rPr>
      <t xml:space="preserve">回目未実施。</t>
    </r>
  </si>
  <si>
    <t xml:space="preserve">kk-020</t>
  </si>
  <si>
    <t xml:space="preserve">長野県</t>
  </si>
  <si>
    <r>
      <rPr>
        <sz val="10"/>
        <rFont val="WenQuanYi Zen Hei"/>
        <family val="2"/>
      </rPr>
      <t xml:space="preserve">「長野県 系統用蓄電池 開発許可」「長野県 蓄電池 第一種特定工作物」で検索したが、長野県自身の公表ページはヒットせず（系統用蓄電池ラボの事業者向け解説記事や補助金情報のみ）。</t>
    </r>
    <r>
      <rPr>
        <sz val="10"/>
        <rFont val="Meiryo"/>
        <family val="0"/>
        <charset val="1"/>
      </rPr>
      <t xml:space="preserve">WebSearch</t>
    </r>
    <r>
      <rPr>
        <sz val="10"/>
        <rFont val="WenQuanYi Zen Hei"/>
        <family val="2"/>
      </rPr>
      <t xml:space="preserve">予算切れのため</t>
    </r>
    <r>
      <rPr>
        <sz val="10"/>
        <rFont val="Meiryo"/>
        <family val="0"/>
        <charset val="1"/>
      </rPr>
      <t xml:space="preserve">3</t>
    </r>
    <r>
      <rPr>
        <sz val="10"/>
        <rFont val="WenQuanYi Zen Hei"/>
        <family val="2"/>
      </rPr>
      <t xml:space="preserve">回目未実施。</t>
    </r>
  </si>
  <si>
    <t xml:space="preserve">kk-021</t>
  </si>
  <si>
    <r>
      <rPr>
        <sz val="10"/>
        <rFont val="WenQuanYi Zen Hei"/>
        <family val="2"/>
      </rPr>
      <t xml:space="preserve">「系統用蓄電池 開発許可」「蓄電池 第一種特定工作物 開発許可」の</t>
    </r>
    <r>
      <rPr>
        <sz val="10"/>
        <rFont val="Meiryo"/>
        <family val="0"/>
        <charset val="1"/>
      </rPr>
      <t xml:space="preserve">2</t>
    </r>
    <r>
      <rPr>
        <sz val="10"/>
        <rFont val="WenQuanYi Zen Hei"/>
        <family val="2"/>
      </rPr>
      <t xml:space="preserve">種の検索で県公式ページを確認できず。県の一般的な開発許可制度ページ（</t>
    </r>
    <r>
      <rPr>
        <sz val="10"/>
        <rFont val="Meiryo"/>
        <family val="0"/>
        <charset val="1"/>
      </rPr>
      <t xml:space="preserve">pref.gifu.lg.jp/page/469603.html</t>
    </r>
    <r>
      <rPr>
        <sz val="10"/>
        <rFont val="WenQuanYi Zen Hei"/>
        <family val="2"/>
      </rPr>
      <t xml:space="preserve">、</t>
    </r>
    <r>
      <rPr>
        <sz val="10"/>
        <rFont val="Meiryo"/>
        <family val="0"/>
        <charset val="1"/>
      </rPr>
      <t xml:space="preserve">2026</t>
    </r>
    <r>
      <rPr>
        <sz val="10"/>
        <rFont val="WenQuanYi Zen Hei"/>
        <family val="2"/>
      </rPr>
      <t xml:space="preserve">年</t>
    </r>
    <r>
      <rPr>
        <sz val="10"/>
        <rFont val="Meiryo"/>
        <family val="0"/>
        <charset val="1"/>
      </rPr>
      <t xml:space="preserve">4</t>
    </r>
    <r>
      <rPr>
        <sz val="10"/>
        <rFont val="WenQuanYi Zen Hei"/>
        <family val="2"/>
      </rPr>
      <t xml:space="preserve">月</t>
    </r>
    <r>
      <rPr>
        <sz val="10"/>
        <rFont val="Meiryo"/>
        <family val="0"/>
        <charset val="1"/>
      </rPr>
      <t xml:space="preserve">1</t>
    </r>
    <r>
      <rPr>
        <sz val="10"/>
        <rFont val="WenQuanYi Zen Hei"/>
        <family val="2"/>
      </rPr>
      <t xml:space="preserve">日更新）を確認したが、蓄電池に関する記載はなし。県内では関ケ原町・岐阜市（民間事業者稼働事例）がヒットするが県自身の公表は未確認。</t>
    </r>
    <r>
      <rPr>
        <sz val="10"/>
        <rFont val="Meiryo"/>
        <family val="0"/>
        <charset val="1"/>
      </rPr>
      <t xml:space="preserve">3</t>
    </r>
    <r>
      <rPr>
        <sz val="10"/>
        <rFont val="WenQuanYi Zen Hei"/>
        <family val="2"/>
      </rPr>
      <t xml:space="preserve">回目の検索は</t>
    </r>
    <r>
      <rPr>
        <sz val="10"/>
        <rFont val="Meiryo"/>
        <family val="0"/>
        <charset val="1"/>
      </rPr>
      <t xml:space="preserve">WebSearch</t>
    </r>
    <r>
      <rPr>
        <sz val="10"/>
        <rFont val="WenQuanYi Zen Hei"/>
        <family val="2"/>
      </rPr>
      <t xml:space="preserve">利用上限のため未実施</t>
    </r>
  </si>
  <si>
    <t xml:space="preserve">kk-022</t>
  </si>
  <si>
    <r>
      <rPr>
        <sz val="10"/>
        <rFont val="WenQuanYi Zen Hei"/>
        <family val="2"/>
      </rPr>
      <t xml:space="preserve">「静岡県 系統用蓄電池 開発許可」「静岡県 蓄電池 第一種特定工作物 開発許可」で検索したが、県内の浜松市（</t>
    </r>
    <r>
      <rPr>
        <sz val="10"/>
        <rFont val="Meiryo"/>
        <family val="0"/>
        <charset val="1"/>
      </rPr>
      <t xml:space="preserve">found</t>
    </r>
    <r>
      <rPr>
        <sz val="10"/>
        <rFont val="WenQuanYi Zen Hei"/>
        <family val="2"/>
      </rPr>
      <t xml:space="preserve">済み）のページばかりがヒットし、静岡県自身（県所管区域向け）の公表ページは確認できず。</t>
    </r>
    <r>
      <rPr>
        <sz val="10"/>
        <rFont val="Meiryo"/>
        <family val="0"/>
        <charset val="1"/>
      </rPr>
      <t xml:space="preserve">WebSearch</t>
    </r>
    <r>
      <rPr>
        <sz val="10"/>
        <rFont val="WenQuanYi Zen Hei"/>
        <family val="2"/>
      </rPr>
      <t xml:space="preserve">予算切れのため</t>
    </r>
    <r>
      <rPr>
        <sz val="10"/>
        <rFont val="Meiryo"/>
        <family val="0"/>
        <charset val="1"/>
      </rPr>
      <t xml:space="preserve">3</t>
    </r>
    <r>
      <rPr>
        <sz val="10"/>
        <rFont val="WenQuanYi Zen Hei"/>
        <family val="2"/>
      </rPr>
      <t xml:space="preserve">回目未実施。</t>
    </r>
  </si>
  <si>
    <t xml:space="preserve">kk-023</t>
  </si>
  <si>
    <t xml:space="preserve">愛知県</t>
  </si>
  <si>
    <r>
      <rPr>
        <sz val="10"/>
        <rFont val="WenQuanYi Zen Hei"/>
        <family val="2"/>
      </rPr>
      <t xml:space="preserve">「系統用蓄電池 開発許可」「蓄電池 第一種特定工作物 開発許可」の</t>
    </r>
    <r>
      <rPr>
        <sz val="10"/>
        <rFont val="Meiryo"/>
        <family val="0"/>
        <charset val="1"/>
      </rPr>
      <t xml:space="preserve">2</t>
    </r>
    <r>
      <rPr>
        <sz val="10"/>
        <rFont val="WenQuanYi Zen Hei"/>
        <family val="2"/>
      </rPr>
      <t xml:space="preserve">種の検索で県公式ページを確認できず。ヒットしたのは近隣県外の浜松市（静岡県）の事例のみで、愛知県自身の公表は検索結果に見当たらない。</t>
    </r>
    <r>
      <rPr>
        <sz val="10"/>
        <rFont val="Meiryo"/>
        <family val="0"/>
        <charset val="1"/>
      </rPr>
      <t xml:space="preserve">3</t>
    </r>
    <r>
      <rPr>
        <sz val="10"/>
        <rFont val="WenQuanYi Zen Hei"/>
        <family val="2"/>
      </rPr>
      <t xml:space="preserve">回目の検索は</t>
    </r>
    <r>
      <rPr>
        <sz val="10"/>
        <rFont val="Meiryo"/>
        <family val="0"/>
        <charset val="1"/>
      </rPr>
      <t xml:space="preserve">WebSearch</t>
    </r>
    <r>
      <rPr>
        <sz val="10"/>
        <rFont val="WenQuanYi Zen Hei"/>
        <family val="2"/>
      </rPr>
      <t xml:space="preserve">利用上限のため未実施。</t>
    </r>
  </si>
  <si>
    <t xml:space="preserve">kk-024</t>
  </si>
  <si>
    <t xml:space="preserve">三重県</t>
  </si>
  <si>
    <r>
      <rPr>
        <sz val="10"/>
        <rFont val="WenQuanYi Zen Hei"/>
        <family val="2"/>
      </rPr>
      <t xml:space="preserve">「系統用蓄電池 開発許可」「蓄電池 第一種特定工作物 開発許可」の</t>
    </r>
    <r>
      <rPr>
        <sz val="10"/>
        <rFont val="Meiryo"/>
        <family val="0"/>
        <charset val="1"/>
      </rPr>
      <t xml:space="preserve">2</t>
    </r>
    <r>
      <rPr>
        <sz val="10"/>
        <rFont val="WenQuanYi Zen Hei"/>
        <family val="2"/>
      </rPr>
      <t xml:space="preserve">種の検索で県公式ページを確認できず。県の太陽光補助金ページ等はヒットしたが、系統用蓄電池の開発許可取扱いに関する県公表は検索結果に見当たらない。</t>
    </r>
    <r>
      <rPr>
        <sz val="10"/>
        <rFont val="Meiryo"/>
        <family val="0"/>
        <charset val="1"/>
      </rPr>
      <t xml:space="preserve">3</t>
    </r>
    <r>
      <rPr>
        <sz val="10"/>
        <rFont val="WenQuanYi Zen Hei"/>
        <family val="2"/>
      </rPr>
      <t xml:space="preserve">回目の検索は</t>
    </r>
    <r>
      <rPr>
        <sz val="10"/>
        <rFont val="Meiryo"/>
        <family val="0"/>
        <charset val="1"/>
      </rPr>
      <t xml:space="preserve">WebSearch</t>
    </r>
    <r>
      <rPr>
        <sz val="10"/>
        <rFont val="WenQuanYi Zen Hei"/>
        <family val="2"/>
      </rPr>
      <t xml:space="preserve">利用上限のため未実施。</t>
    </r>
  </si>
  <si>
    <t xml:space="preserve">kk-025</t>
  </si>
  <si>
    <r>
      <rPr>
        <sz val="10"/>
        <rFont val="WenQuanYi Zen Hei"/>
        <family val="2"/>
      </rPr>
      <t xml:space="preserve">「系統用蓄電池 開発許可」「蓄電池 第一種特定工作物 開発許可」の</t>
    </r>
    <r>
      <rPr>
        <sz val="10"/>
        <rFont val="Meiryo"/>
        <family val="0"/>
        <charset val="1"/>
      </rPr>
      <t xml:space="preserve">2</t>
    </r>
    <r>
      <rPr>
        <sz val="10"/>
        <rFont val="WenQuanYi Zen Hei"/>
        <family val="2"/>
      </rPr>
      <t xml:space="preserve">種の検索で県公式ページを確認できず。滋賀県内では大津市（開発許可権限を有する中核市として自ら公表）がヒットするが、滋賀県庁自身による公表は検索結果に見当たらない。</t>
    </r>
    <r>
      <rPr>
        <sz val="10"/>
        <rFont val="Meiryo"/>
        <family val="0"/>
        <charset val="1"/>
      </rPr>
      <t xml:space="preserve">3</t>
    </r>
    <r>
      <rPr>
        <sz val="10"/>
        <rFont val="WenQuanYi Zen Hei"/>
        <family val="2"/>
      </rPr>
      <t xml:space="preserve">回目の検索は</t>
    </r>
    <r>
      <rPr>
        <sz val="10"/>
        <rFont val="Meiryo"/>
        <family val="0"/>
        <charset val="1"/>
      </rPr>
      <t xml:space="preserve">WebSearch</t>
    </r>
    <r>
      <rPr>
        <sz val="10"/>
        <rFont val="WenQuanYi Zen Hei"/>
        <family val="2"/>
      </rPr>
      <t xml:space="preserve">利用上限のため未実施。</t>
    </r>
  </si>
  <si>
    <t xml:space="preserve">kk-026</t>
  </si>
  <si>
    <t xml:space="preserve">京都府</t>
  </si>
  <si>
    <r>
      <rPr>
        <sz val="10"/>
        <rFont val="Meiryo"/>
        <family val="0"/>
        <charset val="1"/>
      </rPr>
      <t xml:space="preserve">WebSearch</t>
    </r>
    <r>
      <rPr>
        <sz val="10"/>
        <rFont val="WenQuanYi Zen Hei"/>
        <family val="2"/>
      </rPr>
      <t xml:space="preserve">で「京都府 系統用蓄電池 開発許可」「京都府 蓄電池 第一種特定工作物 開発許可」「</t>
    </r>
    <r>
      <rPr>
        <sz val="10"/>
        <rFont val="Meiryo"/>
        <family val="0"/>
        <charset val="1"/>
      </rPr>
      <t xml:space="preserve">site:pref.kyoto.jp </t>
    </r>
    <r>
      <rPr>
        <sz val="10"/>
        <rFont val="WenQuanYi Zen Hei"/>
        <family val="2"/>
      </rPr>
      <t xml:space="preserve">系統用蓄電池」を実施したが、府自身による開発許可取扱いの公表ページはヒットせず。</t>
    </r>
    <r>
      <rPr>
        <sz val="10"/>
        <rFont val="Meiryo"/>
        <family val="0"/>
        <charset val="1"/>
      </rPr>
      <t xml:space="preserve">pref.kyoto.jp</t>
    </r>
    <r>
      <rPr>
        <sz val="10"/>
        <rFont val="WenQuanYi Zen Hei"/>
        <family val="2"/>
      </rPr>
      <t xml:space="preserve">の「京都府再生可能エネルギーの導入等促進プラン（第</t>
    </r>
    <r>
      <rPr>
        <sz val="10"/>
        <rFont val="Meiryo"/>
        <family val="0"/>
        <charset val="1"/>
      </rPr>
      <t xml:space="preserve">3</t>
    </r>
    <r>
      <rPr>
        <sz val="10"/>
        <rFont val="WenQuanYi Zen Hei"/>
        <family val="2"/>
      </rPr>
      <t xml:space="preserve">期）中間案」</t>
    </r>
    <r>
      <rPr>
        <sz val="10"/>
        <rFont val="Meiryo"/>
        <family val="0"/>
        <charset val="1"/>
      </rPr>
      <t xml:space="preserve">PDF</t>
    </r>
    <r>
      <rPr>
        <sz val="10"/>
        <rFont val="WenQuanYi Zen Hei"/>
        <family val="2"/>
      </rPr>
      <t xml:space="preserve">に『大規模蓄電所（例：系統用蓄電池）』の語が登場するが、これは開発許可の取扱い通知で</t>
    </r>
  </si>
  <si>
    <t xml:space="preserve">kk-027</t>
  </si>
  <si>
    <t xml:space="preserve">大阪府</t>
  </si>
  <si>
    <r>
      <rPr>
        <sz val="10"/>
        <rFont val="Meiryo"/>
        <family val="0"/>
        <charset val="1"/>
      </rPr>
      <t xml:space="preserve">WebSearch</t>
    </r>
    <r>
      <rPr>
        <sz val="10"/>
        <rFont val="WenQuanYi Zen Hei"/>
        <family val="2"/>
      </rPr>
      <t xml:space="preserve">で「大阪府 系統用蓄電池 開発許可」「大阪府 蓄電池 第一種特定工作物 開発許可」「</t>
    </r>
    <r>
      <rPr>
        <sz val="10"/>
        <rFont val="Meiryo"/>
        <family val="0"/>
        <charset val="1"/>
      </rPr>
      <t xml:space="preserve">site:pref.osaka.lg.jp </t>
    </r>
    <r>
      <rPr>
        <sz val="10"/>
        <rFont val="WenQuanYi Zen Hei"/>
        <family val="2"/>
      </rPr>
      <t xml:space="preserve">系統用蓄電池」を実施したが、府自身による開発許可取扱いの公表ページはヒットせず。ヒットした</t>
    </r>
    <r>
      <rPr>
        <sz val="10"/>
        <rFont val="Meiryo"/>
        <family val="0"/>
        <charset val="1"/>
      </rPr>
      <t xml:space="preserve">pref.osaka.lg.jp</t>
    </r>
    <r>
      <rPr>
        <sz val="10"/>
        <rFont val="WenQuanYi Zen Hei"/>
        <family val="2"/>
      </rPr>
      <t xml:space="preserve">のページはいずれも蓄電池補助金・共同購入支援・産業連携協定に関するもので、開発許可制度の取扱いに関するものではない。</t>
    </r>
  </si>
  <si>
    <t xml:space="preserve">kk-028</t>
  </si>
  <si>
    <t xml:space="preserve">公表あり</t>
  </si>
  <si>
    <r>
      <rPr>
        <sz val="10"/>
        <rFont val="Meiryo"/>
        <family val="0"/>
        <charset val="1"/>
      </rPr>
      <t xml:space="preserve">announced_date</t>
    </r>
    <r>
      <rPr>
        <sz val="10"/>
        <rFont val="WenQuanYi Zen Hei"/>
        <family val="2"/>
      </rPr>
      <t xml:space="preserve">はページ記載の更新日（</t>
    </r>
    <r>
      <rPr>
        <sz val="10"/>
        <rFont val="Meiryo"/>
        <family val="0"/>
        <charset val="1"/>
      </rPr>
      <t xml:space="preserve">2026</t>
    </r>
    <r>
      <rPr>
        <sz val="10"/>
        <rFont val="WenQuanYi Zen Hei"/>
        <family val="2"/>
      </rPr>
      <t xml:space="preserve">年</t>
    </r>
    <r>
      <rPr>
        <sz val="10"/>
        <rFont val="Meiryo"/>
        <family val="0"/>
        <charset val="1"/>
      </rPr>
      <t xml:space="preserve">6</t>
    </r>
    <r>
      <rPr>
        <sz val="10"/>
        <rFont val="WenQuanYi Zen Hei"/>
        <family val="2"/>
      </rPr>
      <t xml:space="preserve">月</t>
    </r>
    <r>
      <rPr>
        <sz val="10"/>
        <rFont val="Meiryo"/>
        <family val="0"/>
        <charset val="1"/>
      </rPr>
      <t xml:space="preserve">5</t>
    </r>
    <r>
      <rPr>
        <sz val="10"/>
        <rFont val="WenQuanYi Zen Hei"/>
        <family val="2"/>
      </rPr>
      <t xml:space="preserve">日）で、当初公表日と一致するかは未確認。兵庫県内では加古川市（開発許可権者、別途本リストに記載）に加え、開発許可権者ではない三田市も同様の取扱いページを公表している（</t>
    </r>
    <r>
      <rPr>
        <sz val="10"/>
        <rFont val="Meiryo"/>
        <family val="0"/>
        <charset val="1"/>
      </rPr>
      <t xml:space="preserve">https://www.city.sanda.lg.jp/soshiki/36/faq/faq_jigyosha/1/33032.html </t>
    </r>
    <r>
      <rPr>
        <sz val="10"/>
        <rFont val="WenQuanYi Zen Hei"/>
        <family val="2"/>
      </rPr>
      <t xml:space="preserve">更新日</t>
    </r>
    <r>
      <rPr>
        <sz val="10"/>
        <rFont val="Meiryo"/>
        <family val="0"/>
        <charset val="1"/>
      </rPr>
      <t xml:space="preserve">2025-08-21</t>
    </r>
    <r>
      <rPr>
        <sz val="10"/>
        <rFont val="WenQuanYi Zen Hei"/>
        <family val="2"/>
      </rPr>
      <t xml:space="preserve">、</t>
    </r>
  </si>
  <si>
    <t xml:space="preserve">kk-029</t>
  </si>
  <si>
    <t xml:space="preserve">奈良県</t>
  </si>
  <si>
    <r>
      <rPr>
        <sz val="10"/>
        <rFont val="WenQuanYi Zen Hei"/>
        <family val="2"/>
      </rPr>
      <t xml:space="preserve">「奈良県 系統用蓄電池 開発許可」で検索したが、ヒットしたのは個人・事業者向け太陽光発電・蓄電池補助金ページ（例</t>
    </r>
    <r>
      <rPr>
        <sz val="10"/>
        <rFont val="Meiryo"/>
        <family val="0"/>
        <charset val="1"/>
      </rPr>
      <t xml:space="preserve">: https://www.pref.nara.jp/43555.htm</t>
    </r>
    <r>
      <rPr>
        <sz val="10"/>
        <rFont val="WenQuanYi Zen Hei"/>
        <family val="2"/>
      </rPr>
      <t xml:space="preserve">）のみで、開発許可の取扱いを示す県公式ページは検索結果に出なかった。検索回数上限のため追加検索（第一種特定工作物、条例等）は未実施。</t>
    </r>
  </si>
  <si>
    <t xml:space="preserve">kk-030</t>
  </si>
  <si>
    <t xml:space="preserve">和歌山県</t>
  </si>
  <si>
    <r>
      <rPr>
        <sz val="10"/>
        <rFont val="WenQuanYi Zen Hei"/>
        <family val="2"/>
      </rPr>
      <t xml:space="preserve">「和歌山県 系統用蓄電池 開発許可」で検索したが、ヒットしたのは太陽光発電・蓄電池補助金ページ（例</t>
    </r>
    <r>
      <rPr>
        <sz val="10"/>
        <rFont val="Meiryo"/>
        <family val="0"/>
        <charset val="1"/>
      </rPr>
      <t xml:space="preserve">: https://www.pref.wakayama.lg.jp/prefg/032000/taiyoukouhojyo_jigyousya.html</t>
    </r>
    <r>
      <rPr>
        <sz val="10"/>
        <rFont val="WenQuanYi Zen Hei"/>
        <family val="2"/>
      </rPr>
      <t xml:space="preserve">）のみで、開発許可の取扱いを示す県公式ページは検索結果に出なかった。検索回数上限のため追加検索は未実施。</t>
    </r>
  </si>
  <si>
    <t xml:space="preserve">kk-031</t>
  </si>
  <si>
    <r>
      <rPr>
        <sz val="10"/>
        <rFont val="WenQuanYi Zen Hei"/>
        <family val="2"/>
      </rPr>
      <t xml:space="preserve">県サイトの開発許可制度ページ</t>
    </r>
    <r>
      <rPr>
        <sz val="10"/>
        <rFont val="Meiryo"/>
        <family val="0"/>
        <charset val="1"/>
      </rPr>
      <t xml:space="preserve">(pref.tottori.lg.jp/24110.htm, 24111.htm)</t>
    </r>
    <r>
      <rPr>
        <sz val="10"/>
        <rFont val="WenQuanYi Zen Hei"/>
        <family val="2"/>
      </rPr>
      <t xml:space="preserve">を確認したが、系統用蓄電池に関する記載なし。県としての公表は未確認。</t>
    </r>
  </si>
  <si>
    <t xml:space="preserve">kk-032</t>
  </si>
  <si>
    <t xml:space="preserve">島根県</t>
  </si>
  <si>
    <t xml:space="preserve">「系統用蓄電池」「第一種特定工作物」等での検索で県公式サイトの該当ページを発見できず。県としての公表は未確認。</t>
  </si>
  <si>
    <t xml:space="preserve">kk-033</t>
  </si>
  <si>
    <t xml:space="preserve">岡山県</t>
  </si>
  <si>
    <r>
      <rPr>
        <sz val="10"/>
        <rFont val="WenQuanYi Zen Hei"/>
        <family val="2"/>
      </rPr>
      <t xml:space="preserve">県の「開発許可申請の手引き」ページ</t>
    </r>
    <r>
      <rPr>
        <sz val="10"/>
        <rFont val="Meiryo"/>
        <family val="0"/>
        <charset val="1"/>
      </rPr>
      <t xml:space="preserve">(pref.okayama.jp/page/419744.html)</t>
    </r>
    <r>
      <rPr>
        <sz val="10"/>
        <rFont val="WenQuanYi Zen Hei"/>
        <family val="2"/>
      </rPr>
      <t xml:space="preserve">を確認したが蓄電池関連の記載なし。県としての公表は未確認。</t>
    </r>
  </si>
  <si>
    <t xml:space="preserve">kk-034</t>
  </si>
  <si>
    <t xml:space="preserve">「系統用蓄電池」「第一種特定工作物」等での検索で県公式サイトの該当ページを発見できず。県としての公表は未確認（同県内の東広島市には別途「開発許可制度における運用基準集」あり、要別途確認）。</t>
  </si>
  <si>
    <t xml:space="preserve">kk-035</t>
  </si>
  <si>
    <t xml:space="preserve">山口県</t>
  </si>
  <si>
    <t xml:space="preserve">kk-036</t>
  </si>
  <si>
    <t xml:space="preserve">kk-037</t>
  </si>
  <si>
    <t xml:space="preserve">香川県</t>
  </si>
  <si>
    <r>
      <rPr>
        <sz val="10"/>
        <rFont val="WenQuanYi Zen Hei"/>
        <family val="2"/>
      </rPr>
      <t xml:space="preserve">県の「太陽光発電施設の設置等に関するガイドライン」</t>
    </r>
    <r>
      <rPr>
        <sz val="10"/>
        <rFont val="Meiryo"/>
        <family val="0"/>
        <charset val="1"/>
      </rPr>
      <t xml:space="preserve">(pref.kagawa.lg.jp/kankyoseisaku/chikyu/saiene/snyvve190226081556.html, </t>
    </r>
    <r>
      <rPr>
        <sz val="10"/>
        <rFont val="WenQuanYi Zen Hei"/>
        <family val="2"/>
      </rPr>
      <t xml:space="preserve">公表日</t>
    </r>
    <r>
      <rPr>
        <sz val="10"/>
        <rFont val="Meiryo"/>
        <family val="0"/>
        <charset val="1"/>
      </rPr>
      <t xml:space="preserve">2025-10-01)</t>
    </r>
    <r>
      <rPr>
        <sz val="10"/>
        <rFont val="WenQuanYi Zen Hei"/>
        <family val="2"/>
      </rPr>
      <t xml:space="preserve">を確認したが、太陽光パネルのみが対象で蓄電池は対象外と明記されている。系統用蓄電池に特化した公表は未確認。</t>
    </r>
  </si>
  <si>
    <t xml:space="preserve">kk-038</t>
  </si>
  <si>
    <t xml:space="preserve">愛媛県</t>
  </si>
  <si>
    <r>
      <rPr>
        <sz val="10"/>
        <rFont val="WenQuanYi Zen Hei"/>
        <family val="2"/>
      </rPr>
      <t xml:space="preserve">「系統用蓄電池」「第一種特定工作物」等での検索で県公式サイト</t>
    </r>
    <r>
      <rPr>
        <sz val="10"/>
        <rFont val="Meiryo"/>
        <family val="0"/>
        <charset val="1"/>
      </rPr>
      <t xml:space="preserve">(pref.ehime.jp)</t>
    </r>
    <r>
      <rPr>
        <sz val="10"/>
        <rFont val="WenQuanYi Zen Hei"/>
        <family val="2"/>
      </rPr>
      <t xml:space="preserve">の該当ページを発見できず。県としての公表は未確認。</t>
    </r>
  </si>
  <si>
    <t xml:space="preserve">kk-039</t>
  </si>
  <si>
    <t xml:space="preserve">高知県</t>
  </si>
  <si>
    <r>
      <rPr>
        <sz val="10"/>
        <rFont val="WenQuanYi Zen Hei"/>
        <family val="2"/>
      </rPr>
      <t xml:space="preserve">県の「開発許可制度の手引及び開発許可技術基準」ページ</t>
    </r>
    <r>
      <rPr>
        <sz val="10"/>
        <rFont val="Meiryo"/>
        <family val="0"/>
        <charset val="1"/>
      </rPr>
      <t xml:space="preserve">(pref.kochi.lg.jp/doc/tebiki-index/)</t>
    </r>
    <r>
      <rPr>
        <sz val="10"/>
        <rFont val="WenQuanYi Zen Hei"/>
        <family val="2"/>
      </rPr>
      <t xml:space="preserve">を確認したが蓄電池関連の記載なし。県としての公表は未確認。</t>
    </r>
  </si>
  <si>
    <t xml:space="preserve">kk-040</t>
  </si>
  <si>
    <t xml:space="preserve">福岡県</t>
  </si>
  <si>
    <r>
      <rPr>
        <sz val="10"/>
        <rFont val="WenQuanYi Zen Hei"/>
        <family val="2"/>
      </rPr>
      <t xml:space="preserve">系統用蓄電池に特化した公表は未確認。県の開発許可総合ページ</t>
    </r>
    <r>
      <rPr>
        <sz val="10"/>
        <rFont val="Meiryo"/>
        <family val="0"/>
        <charset val="1"/>
      </rPr>
      <t xml:space="preserve">(https://www.pref.fukuoka.lg.jp/contents/kaihatsu1.html)</t>
    </r>
    <r>
      <rPr>
        <sz val="10"/>
        <rFont val="WenQuanYi Zen Hei"/>
        <family val="2"/>
      </rPr>
      <t xml:space="preserve">を確認したが蓄電池に関する記載なし。</t>
    </r>
  </si>
  <si>
    <t xml:space="preserve">kk-041</t>
  </si>
  <si>
    <t xml:space="preserve">佐賀県</t>
  </si>
  <si>
    <r>
      <rPr>
        <sz val="10"/>
        <rFont val="WenQuanYi Zen Hei"/>
        <family val="2"/>
      </rPr>
      <t xml:space="preserve">系統用蓄電池に特化した公表は未確認。県の開発許可総合ページ</t>
    </r>
    <r>
      <rPr>
        <sz val="10"/>
        <rFont val="Meiryo"/>
        <family val="0"/>
        <charset val="1"/>
      </rPr>
      <t xml:space="preserve">(https://www.pref.saga.lg.jp/kiji00367311/index.html)</t>
    </r>
    <r>
      <rPr>
        <sz val="10"/>
        <rFont val="WenQuanYi Zen Hei"/>
        <family val="2"/>
      </rPr>
      <t xml:space="preserve">を確認したが蓄電池に関する記載なし。</t>
    </r>
  </si>
  <si>
    <t xml:space="preserve">kk-042</t>
  </si>
  <si>
    <t xml:space="preserve">長崎県</t>
  </si>
  <si>
    <r>
      <rPr>
        <sz val="10"/>
        <rFont val="WenQuanYi Zen Hei"/>
        <family val="2"/>
      </rPr>
      <t xml:space="preserve">系統用蓄電池に特化した公表は未確認。県の開発許可関係ページ</t>
    </r>
    <r>
      <rPr>
        <sz val="10"/>
        <rFont val="Meiryo"/>
        <family val="0"/>
        <charset val="1"/>
      </rPr>
      <t xml:space="preserve">(https://www.pref.nagasaki.jp/bunrui/anzen-anshin/anzen-anshinmachidukuri/kaihatukyokakankei/)</t>
    </r>
    <r>
      <rPr>
        <sz val="10"/>
        <rFont val="WenQuanYi Zen Hei"/>
        <family val="2"/>
      </rPr>
      <t xml:space="preserve">を確認したが蓄電池に関する記載・リンクなし。</t>
    </r>
  </si>
  <si>
    <t xml:space="preserve">kk-043</t>
  </si>
  <si>
    <r>
      <rPr>
        <sz val="10"/>
        <rFont val="WenQuanYi Zen Hei"/>
        <family val="2"/>
      </rPr>
      <t xml:space="preserve">最終更新日</t>
    </r>
    <r>
      <rPr>
        <sz val="10"/>
        <rFont val="Meiryo"/>
        <family val="0"/>
        <charset val="1"/>
      </rPr>
      <t xml:space="preserve">2025-05-30</t>
    </r>
    <r>
      <rPr>
        <sz val="10"/>
        <rFont val="WenQuanYi Zen Hei"/>
        <family val="2"/>
      </rPr>
      <t xml:space="preserve">時点で</t>
    </r>
    <r>
      <rPr>
        <sz val="10"/>
        <rFont val="Meiryo"/>
        <family val="0"/>
        <charset val="1"/>
      </rPr>
      <t xml:space="preserve">WebFetch</t>
    </r>
    <r>
      <rPr>
        <sz val="10"/>
        <rFont val="WenQuanYi Zen Hei"/>
        <family val="2"/>
      </rPr>
      <t xml:space="preserve">確認。ユーザー提示情報どおり公表済みを確認。</t>
    </r>
  </si>
  <si>
    <t xml:space="preserve">kk-044</t>
  </si>
  <si>
    <t xml:space="preserve">県自体の系統用蓄電池に関する公表は未確認（検索でヒットしたのは大分市の公表のみ）。</t>
  </si>
  <si>
    <t xml:space="preserve">kk-045</t>
  </si>
  <si>
    <t xml:space="preserve">宮崎県</t>
  </si>
  <si>
    <r>
      <rPr>
        <sz val="10"/>
        <rFont val="WenQuanYi Zen Hei"/>
        <family val="2"/>
      </rPr>
      <t xml:space="preserve">系統用蓄電池に特化した公表は未確認。県の都市計画法</t>
    </r>
    <r>
      <rPr>
        <sz val="10"/>
        <rFont val="Meiryo"/>
        <family val="0"/>
        <charset val="1"/>
      </rPr>
      <t xml:space="preserve">(</t>
    </r>
    <r>
      <rPr>
        <sz val="10"/>
        <rFont val="WenQuanYi Zen Hei"/>
        <family val="2"/>
      </rPr>
      <t xml:space="preserve">開発許可</t>
    </r>
    <r>
      <rPr>
        <sz val="10"/>
        <rFont val="Meiryo"/>
        <family val="0"/>
        <charset val="1"/>
      </rPr>
      <t xml:space="preserve">)Q&amp;A</t>
    </r>
    <r>
      <rPr>
        <sz val="10"/>
        <rFont val="WenQuanYi Zen Hei"/>
        <family val="2"/>
      </rPr>
      <t xml:space="preserve">ページ</t>
    </r>
    <r>
      <rPr>
        <sz val="10"/>
        <rFont val="Meiryo"/>
        <family val="0"/>
        <charset val="1"/>
      </rPr>
      <t xml:space="preserve">(https://www.pref.miyazaki.lg.jp/kenchikujutaku/kurashi/shakaikiban/20151008165629.html)</t>
    </r>
    <r>
      <rPr>
        <sz val="10"/>
        <rFont val="WenQuanYi Zen Hei"/>
        <family val="2"/>
      </rPr>
      <t xml:space="preserve">を確認したが蓄電池に関する記載なし。</t>
    </r>
  </si>
  <si>
    <t xml:space="preserve">kk-046</t>
  </si>
  <si>
    <t xml:space="preserve">鹿児島県</t>
  </si>
  <si>
    <t xml:space="preserve">系統用蓄電池の開発許可取扱いに関する県公式サイトの公表は検索で確認できなかった。</t>
  </si>
  <si>
    <t xml:space="preserve">kk-047</t>
  </si>
  <si>
    <t xml:space="preserve">沖縄県</t>
  </si>
  <si>
    <t xml:space="preserve">kk-048</t>
  </si>
  <si>
    <t xml:space="preserve">札幌市</t>
  </si>
  <si>
    <t xml:space="preserve">政令指定都市</t>
  </si>
  <si>
    <r>
      <rPr>
        <sz val="10"/>
        <rFont val="WenQuanYi Zen Hei"/>
        <family val="2"/>
      </rPr>
      <t xml:space="preserve">検索結果ページの直接取得による調査（</t>
    </r>
    <r>
      <rPr>
        <sz val="10"/>
        <rFont val="Meiryo"/>
        <family val="0"/>
        <charset val="1"/>
      </rPr>
      <t xml:space="preserve">2026-08-21</t>
    </r>
    <r>
      <rPr>
        <sz val="10"/>
        <rFont val="WenQuanYi Zen Hei"/>
        <family val="2"/>
      </rPr>
      <t xml:space="preserve">）で公式の系統用蓄電池ページを確認できず。</t>
    </r>
  </si>
  <si>
    <t xml:space="preserve">kk-049</t>
  </si>
  <si>
    <r>
      <rPr>
        <sz val="10"/>
        <rFont val="WenQuanYi Zen Hei"/>
        <family val="2"/>
      </rPr>
      <t xml:space="preserve">系統用蓄電池の開発許可取扱いページは確認できず。火災予防条例の蓄電池設備基準改正ページ（</t>
    </r>
    <r>
      <rPr>
        <sz val="10"/>
        <rFont val="Meiryo"/>
        <family val="0"/>
        <charset val="1"/>
      </rPr>
      <t xml:space="preserve">2023-10</t>
    </r>
    <r>
      <rPr>
        <sz val="10"/>
        <rFont val="WenQuanYi Zen Hei"/>
        <family val="2"/>
      </rPr>
      <t xml:space="preserve">改正、</t>
    </r>
    <r>
      <rPr>
        <sz val="10"/>
        <rFont val="Meiryo"/>
        <family val="0"/>
        <charset val="1"/>
      </rPr>
      <t xml:space="preserve">city.sendai.jp/yobo-shido/chikudenchi.html</t>
    </r>
    <r>
      <rPr>
        <sz val="10"/>
        <rFont val="WenQuanYi Zen Hei"/>
        <family val="2"/>
      </rPr>
      <t xml:space="preserve">）あり。太陽光条例の蓄電池適用は要フォロー。</t>
    </r>
  </si>
  <si>
    <t xml:space="preserve">kk-050</t>
  </si>
  <si>
    <r>
      <rPr>
        <sz val="10"/>
        <rFont val="WenQuanYi Zen Hei"/>
        <family val="2"/>
      </rPr>
      <t xml:space="preserve">再調査（</t>
    </r>
    <r>
      <rPr>
        <sz val="10"/>
        <rFont val="Meiryo"/>
        <family val="0"/>
        <charset val="1"/>
      </rPr>
      <t xml:space="preserve">2026-08-21</t>
    </r>
    <r>
      <rPr>
        <sz val="10"/>
        <rFont val="WenQuanYi Zen Hei"/>
        <family val="2"/>
      </rPr>
      <t xml:space="preserve">）で公表を確認。初回スイープの「公表確認できず」を訂正。市街化調整区域は設置不可（フロー図明記）。</t>
    </r>
  </si>
  <si>
    <t xml:space="preserve">kk-051</t>
  </si>
  <si>
    <r>
      <rPr>
        <sz val="10"/>
        <rFont val="Meiryo"/>
        <family val="0"/>
        <charset val="1"/>
      </rPr>
      <t xml:space="preserve">WebFetch</t>
    </r>
    <r>
      <rPr>
        <sz val="10"/>
        <rFont val="WenQuanYi Zen Hei"/>
        <family val="2"/>
      </rPr>
      <t xml:space="preserve">で内容確認済み。ユーザー提示の</t>
    </r>
    <r>
      <rPr>
        <sz val="10"/>
        <rFont val="Meiryo"/>
        <family val="0"/>
        <charset val="1"/>
      </rPr>
      <t xml:space="preserve">URL</t>
    </r>
    <r>
      <rPr>
        <sz val="10"/>
        <rFont val="WenQuanYi Zen Hei"/>
        <family val="2"/>
      </rPr>
      <t xml:space="preserve">・公表日と一致。</t>
    </r>
  </si>
  <si>
    <t xml:space="preserve">kk-052</t>
  </si>
  <si>
    <t xml:space="preserve">横浜市</t>
  </si>
  <si>
    <r>
      <rPr>
        <sz val="10"/>
        <rFont val="WenQuanYi Zen Hei"/>
        <family val="2"/>
      </rPr>
      <t xml:space="preserve">「系統用蓄電池 開発許可」「蓄電池 第一種特定工作物」の</t>
    </r>
    <r>
      <rPr>
        <sz val="10"/>
        <rFont val="Meiryo"/>
        <family val="0"/>
        <charset val="1"/>
      </rPr>
      <t xml:space="preserve">2</t>
    </r>
    <r>
      <rPr>
        <sz val="10"/>
        <rFont val="WenQuanYi Zen Hei"/>
        <family val="2"/>
      </rPr>
      <t xml:space="preserve">検索で横浜市の開発許可取扱いページは検索結果に出現せず。ヒットは横浜グリーンエネルギーパートナーシップ事業（補助金）、東京センチュリー等による横浜市内特別高圧系統用蓄電池事業のプレスリリース（民間事業者発表）、小型充電式電池の資源化案内などで、市の開発許可取扱い方針とは別。検索予算の都合で</t>
    </r>
    <r>
      <rPr>
        <sz val="10"/>
        <rFont val="Meiryo"/>
        <family val="0"/>
        <charset val="1"/>
      </rPr>
      <t xml:space="preserve">3</t>
    </r>
    <r>
      <rPr>
        <sz val="10"/>
        <rFont val="WenQuanYi Zen Hei"/>
        <family val="2"/>
      </rPr>
      <t xml:space="preserve">回目の検索は実施できず。</t>
    </r>
  </si>
  <si>
    <t xml:space="preserve">kk-053</t>
  </si>
  <si>
    <t xml:space="preserve">川崎市</t>
  </si>
  <si>
    <r>
      <rPr>
        <sz val="10"/>
        <rFont val="WenQuanYi Zen Hei"/>
        <family val="2"/>
      </rPr>
      <t xml:space="preserve">「系統用蓄電池 開発許可」「蓄電池 第一種特定工作物」の</t>
    </r>
    <r>
      <rPr>
        <sz val="10"/>
        <rFont val="Meiryo"/>
        <family val="0"/>
        <charset val="1"/>
      </rPr>
      <t xml:space="preserve">2</t>
    </r>
    <r>
      <rPr>
        <sz val="10"/>
        <rFont val="WenQuanYi Zen Hei"/>
        <family val="2"/>
      </rPr>
      <t xml:space="preserve">検索で川崎市の開発許可取扱いページは検索結果に出現せず。ヒットは太陽光発電設備等設置費補助金ページや蓄電池設備設置の届出（消防関連）</t>
    </r>
    <r>
      <rPr>
        <sz val="10"/>
        <rFont val="Meiryo"/>
        <family val="0"/>
        <charset val="1"/>
      </rPr>
      <t xml:space="preserve">FAQ</t>
    </r>
    <r>
      <rPr>
        <sz val="10"/>
        <rFont val="WenQuanYi Zen Hei"/>
        <family val="2"/>
      </rPr>
      <t xml:space="preserve">のみ。検索予算の都合で</t>
    </r>
    <r>
      <rPr>
        <sz val="10"/>
        <rFont val="Meiryo"/>
        <family val="0"/>
        <charset val="1"/>
      </rPr>
      <t xml:space="preserve">3</t>
    </r>
    <r>
      <rPr>
        <sz val="10"/>
        <rFont val="WenQuanYi Zen Hei"/>
        <family val="2"/>
      </rPr>
      <t xml:space="preserve">回目の検索は実施できず。</t>
    </r>
  </si>
  <si>
    <t xml:space="preserve">kk-054</t>
  </si>
  <si>
    <t xml:space="preserve">相模原市</t>
  </si>
  <si>
    <r>
      <rPr>
        <sz val="10"/>
        <rFont val="WenQuanYi Zen Hei"/>
        <family val="2"/>
      </rPr>
      <t xml:space="preserve">「系統用蓄電池 開発許可」「蓄電池 第一種特定工作物」の</t>
    </r>
    <r>
      <rPr>
        <sz val="10"/>
        <rFont val="Meiryo"/>
        <family val="0"/>
        <charset val="1"/>
      </rPr>
      <t xml:space="preserve">2</t>
    </r>
    <r>
      <rPr>
        <sz val="10"/>
        <rFont val="WenQuanYi Zen Hei"/>
        <family val="2"/>
      </rPr>
      <t xml:space="preserve">検索で相模原市の開発許可取扱いページは検索結果に出現せず。ヒットは相模原蓄電所（民間の系統用蓄電池施設、東急建設）の運用開始ニュースや、住宅用太陽光・蓄電池補助金、消防関連の設置届出書ページのみ。検索予算の都合で</t>
    </r>
    <r>
      <rPr>
        <sz val="10"/>
        <rFont val="Meiryo"/>
        <family val="0"/>
        <charset val="1"/>
      </rPr>
      <t xml:space="preserve">3</t>
    </r>
    <r>
      <rPr>
        <sz val="10"/>
        <rFont val="WenQuanYi Zen Hei"/>
        <family val="2"/>
      </rPr>
      <t xml:space="preserve">回目の検索は実施できず。</t>
    </r>
  </si>
  <si>
    <t xml:space="preserve">kk-055</t>
  </si>
  <si>
    <t xml:space="preserve">新潟市</t>
  </si>
  <si>
    <r>
      <rPr>
        <sz val="10"/>
        <rFont val="WenQuanYi Zen Hei"/>
        <family val="2"/>
      </rPr>
      <t xml:space="preserve">「新潟市 系統用蓄電池 開発許可」「新潟市 蓄電池 第一種特定工作物」で検索したが、新潟市の公表ページはヒットせず（補助金・リサイクル関連情報のみ）。</t>
    </r>
    <r>
      <rPr>
        <sz val="10"/>
        <rFont val="Meiryo"/>
        <family val="0"/>
        <charset val="1"/>
      </rPr>
      <t xml:space="preserve">WebSearch</t>
    </r>
    <r>
      <rPr>
        <sz val="10"/>
        <rFont val="WenQuanYi Zen Hei"/>
        <family val="2"/>
      </rPr>
      <t xml:space="preserve">予算切れのため</t>
    </r>
    <r>
      <rPr>
        <sz val="10"/>
        <rFont val="Meiryo"/>
        <family val="0"/>
        <charset val="1"/>
      </rPr>
      <t xml:space="preserve">3</t>
    </r>
    <r>
      <rPr>
        <sz val="10"/>
        <rFont val="WenQuanYi Zen Hei"/>
        <family val="2"/>
      </rPr>
      <t xml:space="preserve">回目未実施。</t>
    </r>
  </si>
  <si>
    <t xml:space="preserve">kk-056</t>
  </si>
  <si>
    <t xml:space="preserve">静岡市</t>
  </si>
  <si>
    <r>
      <rPr>
        <sz val="10"/>
        <rFont val="WenQuanYi Zen Hei"/>
        <family val="2"/>
      </rPr>
      <t xml:space="preserve">「静岡市 系統用蓄電池 開発許可」で検索したところ、静岡市の申請書ダウンロードページ（燃料電池発電設備・変電設備・急速充電設備・発電設備・蓄電池設備設置届出書、</t>
    </r>
    <r>
      <rPr>
        <sz val="10"/>
        <rFont val="Meiryo"/>
        <family val="0"/>
        <charset val="1"/>
      </rPr>
      <t xml:space="preserve">https://www.city.shizuoka.lg.jp/shinsei/s3274/p0087.html</t>
    </r>
    <r>
      <rPr>
        <sz val="10"/>
        <rFont val="WenQuanYi Zen Hei"/>
        <family val="2"/>
      </rPr>
      <t xml:space="preserve">）がヒットしたが、これは消防法に基づく設備設置届出書であり、都市計画法の開発許可制度における系統用蓄電池の取扱いを定めたものでは</t>
    </r>
  </si>
  <si>
    <t xml:space="preserve">kk-057</t>
  </si>
  <si>
    <r>
      <rPr>
        <sz val="10"/>
        <rFont val="Meiryo"/>
        <family val="0"/>
        <charset val="1"/>
      </rPr>
      <t xml:space="preserve">WebFetch</t>
    </r>
    <r>
      <rPr>
        <sz val="10"/>
        <rFont val="WenQuanYi Zen Hei"/>
        <family val="2"/>
      </rPr>
      <t xml:space="preserve">で内容確認済み。参考情報として提示された</t>
    </r>
    <r>
      <rPr>
        <sz val="10"/>
        <rFont val="Meiryo"/>
        <family val="0"/>
        <charset val="1"/>
      </rPr>
      <t xml:space="preserve">URL</t>
    </r>
    <r>
      <rPr>
        <sz val="10"/>
        <rFont val="WenQuanYi Zen Hei"/>
        <family val="2"/>
      </rPr>
      <t xml:space="preserve">と一致し検証完了。</t>
    </r>
  </si>
  <si>
    <t xml:space="preserve">kk-058</t>
  </si>
  <si>
    <t xml:space="preserve">名古屋市</t>
  </si>
  <si>
    <r>
      <rPr>
        <sz val="10"/>
        <rFont val="WenQuanYi Zen Hei"/>
        <family val="2"/>
      </rPr>
      <t xml:space="preserve">「系統用蓄電池 開発許可」「蓄電池 第一種特定工作物 開発許可」の</t>
    </r>
    <r>
      <rPr>
        <sz val="10"/>
        <rFont val="Meiryo"/>
        <family val="0"/>
        <charset val="1"/>
      </rPr>
      <t xml:space="preserve">2</t>
    </r>
    <r>
      <rPr>
        <sz val="10"/>
        <rFont val="WenQuanYi Zen Hei"/>
        <family val="2"/>
      </rPr>
      <t xml:space="preserve">種の検索で名古屋市公式ページを確認できず。ヒットしたのは消防局の蓄電池設備設置届（火災予防条例に基づく別制度）と家庭用蓄電池補助金のみ。</t>
    </r>
    <r>
      <rPr>
        <sz val="10"/>
        <rFont val="Meiryo"/>
        <family val="0"/>
        <charset val="1"/>
      </rPr>
      <t xml:space="preserve">3</t>
    </r>
    <r>
      <rPr>
        <sz val="10"/>
        <rFont val="WenQuanYi Zen Hei"/>
        <family val="2"/>
      </rPr>
      <t xml:space="preserve">回目の検索は</t>
    </r>
    <r>
      <rPr>
        <sz val="10"/>
        <rFont val="Meiryo"/>
        <family val="0"/>
        <charset val="1"/>
      </rPr>
      <t xml:space="preserve">WebSearch</t>
    </r>
    <r>
      <rPr>
        <sz val="10"/>
        <rFont val="WenQuanYi Zen Hei"/>
        <family val="2"/>
      </rPr>
      <t xml:space="preserve">利用上限のため未実施。</t>
    </r>
  </si>
  <si>
    <t xml:space="preserve">kk-059</t>
  </si>
  <si>
    <t xml:space="preserve">京都市</t>
  </si>
  <si>
    <r>
      <rPr>
        <sz val="10"/>
        <rFont val="Meiryo"/>
        <family val="0"/>
        <charset val="1"/>
      </rPr>
      <t xml:space="preserve">WebSearch</t>
    </r>
    <r>
      <rPr>
        <sz val="10"/>
        <rFont val="WenQuanYi Zen Hei"/>
        <family val="2"/>
      </rPr>
      <t xml:space="preserve">で「京都市 系統用蓄電池 開発許可」「</t>
    </r>
    <r>
      <rPr>
        <sz val="10"/>
        <rFont val="Meiryo"/>
        <family val="0"/>
        <charset val="1"/>
      </rPr>
      <t xml:space="preserve">site:city.kyoto.lg.jp </t>
    </r>
    <r>
      <rPr>
        <sz val="10"/>
        <rFont val="WenQuanYi Zen Hei"/>
        <family val="2"/>
      </rPr>
      <t xml:space="preserve">系統用蓄電池」を実施したが、京都市による系統用蓄電池の開発許可取扱いに関する公表ページはヒットせず。ヒットした</t>
    </r>
    <r>
      <rPr>
        <sz val="10"/>
        <rFont val="Meiryo"/>
        <family val="0"/>
        <charset val="1"/>
      </rPr>
      <t xml:space="preserve">city.kyoto.lg.jp</t>
    </r>
    <r>
      <rPr>
        <sz val="10"/>
        <rFont val="WenQuanYi Zen Hei"/>
        <family val="2"/>
      </rPr>
      <t xml:space="preserve">のページは太陽光発電・蓄電池補助金、消防局のリチウムイオン電池取扱い、再エネアグリゲーション実証等であり、開発許可制度の取扱いとは無関係。</t>
    </r>
  </si>
  <si>
    <t xml:space="preserve">kk-060</t>
  </si>
  <si>
    <t xml:space="preserve">大阪市</t>
  </si>
  <si>
    <r>
      <rPr>
        <sz val="10"/>
        <rFont val="Meiryo"/>
        <family val="0"/>
        <charset val="1"/>
      </rPr>
      <t xml:space="preserve">WebSearch</t>
    </r>
    <r>
      <rPr>
        <sz val="10"/>
        <rFont val="WenQuanYi Zen Hei"/>
        <family val="2"/>
      </rPr>
      <t xml:space="preserve">で「大阪市 系統用蓄電池 開発許可」「</t>
    </r>
    <r>
      <rPr>
        <sz val="10"/>
        <rFont val="Meiryo"/>
        <family val="0"/>
        <charset val="1"/>
      </rPr>
      <t xml:space="preserve">site:city.osaka.lg.jp </t>
    </r>
    <r>
      <rPr>
        <sz val="10"/>
        <rFont val="WenQuanYi Zen Hei"/>
        <family val="2"/>
      </rPr>
      <t xml:space="preserve">系統用蓄電池」を実施したが、大阪市による系統用蓄電池の開発許可取扱いに関する公表ページはヒットせず。ヒットした</t>
    </r>
    <r>
      <rPr>
        <sz val="10"/>
        <rFont val="Meiryo"/>
        <family val="0"/>
        <charset val="1"/>
      </rPr>
      <t xml:space="preserve">city.osaka.lg.jp</t>
    </r>
    <r>
      <rPr>
        <sz val="10"/>
        <rFont val="WenQuanYi Zen Hei"/>
        <family val="2"/>
      </rPr>
      <t xml:space="preserve">のページは消防局のリチウムイオン電池注意喚起、</t>
    </r>
    <r>
      <rPr>
        <sz val="10"/>
        <rFont val="Meiryo"/>
        <family val="0"/>
        <charset val="1"/>
      </rPr>
      <t xml:space="preserve">V2X</t>
    </r>
    <r>
      <rPr>
        <sz val="10"/>
        <rFont val="WenQuanYi Zen Hei"/>
        <family val="2"/>
      </rPr>
      <t xml:space="preserve">普及、水道局の</t>
    </r>
    <r>
      <rPr>
        <sz val="10"/>
        <rFont val="Meiryo"/>
        <family val="0"/>
        <charset val="1"/>
      </rPr>
      <t xml:space="preserve">EV</t>
    </r>
    <r>
      <rPr>
        <sz val="10"/>
        <rFont val="WenQuanYi Zen Hei"/>
        <family val="2"/>
      </rPr>
      <t xml:space="preserve">再利用電池活用等であり、開発許可制度の取扱いとは無関係。</t>
    </r>
  </si>
  <si>
    <t xml:space="preserve">kk-061</t>
  </si>
  <si>
    <t xml:space="preserve">堺市</t>
  </si>
  <si>
    <r>
      <rPr>
        <sz val="10"/>
        <rFont val="Meiryo"/>
        <family val="0"/>
        <charset val="1"/>
      </rPr>
      <t xml:space="preserve">WebSearch</t>
    </r>
    <r>
      <rPr>
        <sz val="10"/>
        <rFont val="WenQuanYi Zen Hei"/>
        <family val="2"/>
      </rPr>
      <t xml:space="preserve">で「堺市 系統用蓄電池 開発許可」「</t>
    </r>
    <r>
      <rPr>
        <sz val="10"/>
        <rFont val="Meiryo"/>
        <family val="0"/>
        <charset val="1"/>
      </rPr>
      <t xml:space="preserve">site:city.sakai.lg.jp </t>
    </r>
    <r>
      <rPr>
        <sz val="10"/>
        <rFont val="WenQuanYi Zen Hei"/>
        <family val="2"/>
      </rPr>
      <t xml:space="preserve">系統用蓄電池 開発許可」を実施したが、堺市による系統用蓄電池の開発許可取扱いに関する公表ページはヒットせず。ヒットした</t>
    </r>
    <r>
      <rPr>
        <sz val="10"/>
        <rFont val="Meiryo"/>
        <family val="0"/>
        <charset val="1"/>
      </rPr>
      <t xml:space="preserve">city.sakai.lg.jp</t>
    </r>
    <r>
      <rPr>
        <sz val="10"/>
        <rFont val="WenQuanYi Zen Hei"/>
        <family val="2"/>
      </rPr>
      <t xml:space="preserve">のページは消防関連の危険物規制審査基準・キュービクル式蓄電池設備基準、開発行為許可申請書の一般様式、蓄電池補助金であり、系統用蓄電池特有の開発許可取扱い</t>
    </r>
  </si>
  <si>
    <t xml:space="preserve">kk-062</t>
  </si>
  <si>
    <r>
      <rPr>
        <sz val="10"/>
        <rFont val="WenQuanYi Zen Hei"/>
        <family val="2"/>
      </rPr>
      <t xml:space="preserve">別件として、神戸市太陽光発電施設等の適正な設置及び維持管理に関する条例（</t>
    </r>
    <r>
      <rPr>
        <sz val="10"/>
        <rFont val="Meiryo"/>
        <family val="0"/>
        <charset val="1"/>
      </rPr>
      <t xml:space="preserve">https://www1.g-reiki.net/city.kobe/reiki_honbun/k302RG00001779.html</t>
    </r>
    <r>
      <rPr>
        <sz val="10"/>
        <rFont val="WenQuanYi Zen Hei"/>
        <family val="2"/>
      </rPr>
      <t xml:space="preserve">）は</t>
    </r>
    <r>
      <rPr>
        <sz val="10"/>
        <rFont val="Meiryo"/>
        <family val="0"/>
        <charset val="1"/>
      </rPr>
      <t xml:space="preserve">2025</t>
    </r>
    <r>
      <rPr>
        <sz val="10"/>
        <rFont val="WenQuanYi Zen Hei"/>
        <family val="2"/>
      </rPr>
      <t xml:space="preserve">年</t>
    </r>
    <r>
      <rPr>
        <sz val="10"/>
        <rFont val="Meiryo"/>
        <family val="0"/>
        <charset val="1"/>
      </rPr>
      <t xml:space="preserve">7</t>
    </r>
    <r>
      <rPr>
        <sz val="10"/>
        <rFont val="WenQuanYi Zen Hei"/>
        <family val="2"/>
      </rPr>
      <t xml:space="preserve">月改正で「蓄電所」も規制対象に追加された旨、別ページ（事業用太陽光発電施設等の設置・管理 </t>
    </r>
    <r>
      <rPr>
        <sz val="10"/>
        <rFont val="Meiryo"/>
        <family val="0"/>
        <charset val="1"/>
      </rPr>
      <t xml:space="preserve">https://www.city.kobe.lg.jp/a66958/business/</t>
    </r>
  </si>
  <si>
    <t xml:space="preserve">kk-063</t>
  </si>
  <si>
    <t xml:space="preserve">岡山市</t>
  </si>
  <si>
    <t xml:space="preserve">市公式サイト内検索でも該当ページを発見できず（ヒットしたのは発電・変電・蓄電池設備設置届出書など消防・防災関連様式のみ）。市としての公表は未確認。</t>
  </si>
  <si>
    <t xml:space="preserve">kk-064</t>
  </si>
  <si>
    <t xml:space="preserve">広島市</t>
  </si>
  <si>
    <t xml:space="preserve">市公式サイト内検索でも該当ページを発見できず（ヒットしたのは電気設備保安規程・火災予防規則等のみ）。市としての公表は未確認。</t>
  </si>
  <si>
    <t xml:space="preserve">kk-065</t>
  </si>
  <si>
    <t xml:space="preserve">北九州市</t>
  </si>
  <si>
    <t xml:space="preserve">系統用蓄電池に関する公表は検索で確認できなかった。</t>
  </si>
  <si>
    <t xml:space="preserve">kk-066</t>
  </si>
  <si>
    <t xml:space="preserve">福岡市</t>
  </si>
  <si>
    <r>
      <rPr>
        <sz val="10"/>
        <rFont val="WenQuanYi Zen Hei"/>
        <family val="2"/>
      </rPr>
      <t xml:space="preserve">開発許可申請の手引き</t>
    </r>
    <r>
      <rPr>
        <sz val="10"/>
        <rFont val="Meiryo"/>
        <family val="0"/>
        <charset val="1"/>
      </rPr>
      <t xml:space="preserve">(https://www.city.fukuoka.lg.jp/jutaku-toshi/morido/netdetetsuduki/001.html)</t>
    </r>
    <r>
      <rPr>
        <sz val="10"/>
        <rFont val="WenQuanYi Zen Hei"/>
        <family val="2"/>
      </rPr>
      <t xml:space="preserve">や太陽光発電設備</t>
    </r>
    <r>
      <rPr>
        <sz val="10"/>
        <rFont val="Meiryo"/>
        <family val="0"/>
        <charset val="1"/>
      </rPr>
      <t xml:space="preserve">Q&amp;A(https://www.city.fukuoka.lg.jp/jutaku-toshi/morido/qa/FAQ_photovoltaics.html</t>
    </r>
    <r>
      <rPr>
        <sz val="10"/>
        <rFont val="WenQuanYi Zen Hei"/>
        <family val="2"/>
      </rPr>
      <t xml:space="preserve">、</t>
    </r>
    <r>
      <rPr>
        <sz val="10"/>
        <rFont val="Meiryo"/>
        <family val="0"/>
        <charset val="1"/>
      </rPr>
      <t xml:space="preserve">fetch</t>
    </r>
    <r>
      <rPr>
        <sz val="10"/>
        <rFont val="WenQuanYi Zen Hei"/>
        <family val="2"/>
      </rPr>
      <t xml:space="preserve">失敗のため未確認</t>
    </r>
    <r>
      <rPr>
        <sz val="10"/>
        <rFont val="Meiryo"/>
        <family val="0"/>
        <charset val="1"/>
      </rPr>
      <t xml:space="preserve">)</t>
    </r>
    <r>
      <rPr>
        <sz val="10"/>
        <rFont val="WenQuanYi Zen Hei"/>
        <family val="2"/>
      </rPr>
      <t xml:space="preserve">は存在するが、系統用蓄</t>
    </r>
  </si>
  <si>
    <t xml:space="preserve">kk-067</t>
  </si>
  <si>
    <r>
      <rPr>
        <sz val="10"/>
        <rFont val="WenQuanYi Zen Hei"/>
        <family val="2"/>
      </rPr>
      <t xml:space="preserve">最終更新日</t>
    </r>
    <r>
      <rPr>
        <sz val="10"/>
        <rFont val="Meiryo"/>
        <family val="0"/>
        <charset val="1"/>
      </rPr>
      <t xml:space="preserve">2025-09-25</t>
    </r>
    <r>
      <rPr>
        <sz val="10"/>
        <rFont val="WenQuanYi Zen Hei"/>
        <family val="2"/>
      </rPr>
      <t xml:space="preserve">時点で</t>
    </r>
    <r>
      <rPr>
        <sz val="10"/>
        <rFont val="Meiryo"/>
        <family val="0"/>
        <charset val="1"/>
      </rPr>
      <t xml:space="preserve">WebFetch</t>
    </r>
    <r>
      <rPr>
        <sz val="10"/>
        <rFont val="WenQuanYi Zen Hei"/>
        <family val="2"/>
      </rPr>
      <t xml:space="preserve">確認。ユーザー提示情報どおり公表済みを確認。</t>
    </r>
  </si>
  <si>
    <t xml:space="preserve">kk-068</t>
  </si>
  <si>
    <t xml:space="preserve">函館市</t>
  </si>
  <si>
    <t xml:space="preserve">中核市</t>
  </si>
  <si>
    <t xml:space="preserve">kk-069</t>
  </si>
  <si>
    <t xml:space="preserve">旭川市</t>
  </si>
  <si>
    <t xml:space="preserve">kk-070</t>
  </si>
  <si>
    <t xml:space="preserve">青森市</t>
  </si>
  <si>
    <t xml:space="preserve">kk-071</t>
  </si>
  <si>
    <t xml:space="preserve">八戸市</t>
  </si>
  <si>
    <t xml:space="preserve">kk-072</t>
  </si>
  <si>
    <t xml:space="preserve">盛岡市</t>
  </si>
  <si>
    <t xml:space="preserve">kk-073</t>
  </si>
  <si>
    <t xml:space="preserve">秋田市</t>
  </si>
  <si>
    <t xml:space="preserve">kk-074</t>
  </si>
  <si>
    <t xml:space="preserve">山形市</t>
  </si>
  <si>
    <t xml:space="preserve">kk-075</t>
  </si>
  <si>
    <t xml:space="preserve">都市計画法の開発許可制度ページではなく、市独自ガイドラインとして公表。窓口は企業立地推進課。</t>
  </si>
  <si>
    <t xml:space="preserve">kk-076</t>
  </si>
  <si>
    <t xml:space="preserve">郡山市</t>
  </si>
  <si>
    <r>
      <rPr>
        <sz val="10"/>
        <rFont val="WenQuanYi Zen Hei"/>
        <family val="2"/>
      </rPr>
      <t xml:space="preserve">通常検索＋公式サイト内検索（</t>
    </r>
    <r>
      <rPr>
        <sz val="10"/>
        <rFont val="Meiryo"/>
        <family val="0"/>
        <charset val="1"/>
      </rPr>
      <t xml:space="preserve">site:</t>
    </r>
    <r>
      <rPr>
        <sz val="10"/>
        <rFont val="WenQuanYi Zen Hei"/>
        <family val="2"/>
      </rPr>
      <t xml:space="preserve">検索）でも系統用蓄電池の開発許可・条例ページを確認できず（補助金・家庭用蓄電池のみ）。</t>
    </r>
  </si>
  <si>
    <t xml:space="preserve">kk-077</t>
  </si>
  <si>
    <t xml:space="preserve">いわき市</t>
  </si>
  <si>
    <t xml:space="preserve">kk-078</t>
  </si>
  <si>
    <t xml:space="preserve">水戸市</t>
  </si>
  <si>
    <t xml:space="preserve">系統用蓄電池の開発許可取扱いページは検索で見つからず。住宅用蓄電システム補助金のページのみ確認。</t>
  </si>
  <si>
    <t xml:space="preserve">kk-079</t>
  </si>
  <si>
    <t xml:space="preserve">宇都宮市</t>
  </si>
  <si>
    <t xml:space="preserve">系統用蓄電池の開発許可取扱いページは検索で見つからず。市には「太陽光発電事業と地域との調和に関する条例」があるが対象は太陽光発電施設で蓄電池特化ではない。</t>
  </si>
  <si>
    <t xml:space="preserve">kk-080</t>
  </si>
  <si>
    <t xml:space="preserve">前橋市</t>
  </si>
  <si>
    <r>
      <rPr>
        <sz val="10"/>
        <rFont val="WenQuanYi Zen Hei"/>
        <family val="2"/>
      </rPr>
      <t xml:space="preserve">系統用蓄電池の開発許可取扱いページは見つからず。市の「再エネ条例」（自然環境、景観等と再生可能エネルギー発電設備設置事業との調和に関する条例）は太陽光・風力・水力・バイオマス・地熱が対象で蓄電池は含まれないことを</t>
    </r>
    <r>
      <rPr>
        <sz val="10"/>
        <rFont val="Meiryo"/>
        <family val="0"/>
        <charset val="1"/>
      </rPr>
      <t xml:space="preserve">WebFetch</t>
    </r>
    <r>
      <rPr>
        <sz val="10"/>
        <rFont val="WenQuanYi Zen Hei"/>
        <family val="2"/>
      </rPr>
      <t xml:space="preserve">で確認（</t>
    </r>
    <r>
      <rPr>
        <sz val="10"/>
        <rFont val="Meiryo"/>
        <family val="0"/>
        <charset val="1"/>
      </rPr>
      <t xml:space="preserve">https://www.city.maebashi.gunma.jp/soshiki/toshikeikakubu/kaihatusidou/gyomu/6/2/2</t>
    </r>
  </si>
  <si>
    <t xml:space="preserve">kk-081</t>
  </si>
  <si>
    <r>
      <rPr>
        <sz val="10"/>
        <rFont val="Meiryo"/>
        <family val="0"/>
        <charset val="1"/>
      </rPr>
      <t xml:space="preserve">WebFetch</t>
    </r>
    <r>
      <rPr>
        <sz val="10"/>
        <rFont val="WenQuanYi Zen Hei"/>
        <family val="2"/>
      </rPr>
      <t xml:space="preserve">で内容確認済み。ユーザー提示の</t>
    </r>
    <r>
      <rPr>
        <sz val="10"/>
        <rFont val="Meiryo"/>
        <family val="0"/>
        <charset val="1"/>
      </rPr>
      <t xml:space="preserve">URL</t>
    </r>
    <r>
      <rPr>
        <sz val="10"/>
        <rFont val="WenQuanYi Zen Hei"/>
        <family val="2"/>
      </rPr>
      <t xml:space="preserve">と一致。</t>
    </r>
  </si>
  <si>
    <t xml:space="preserve">kk-082</t>
  </si>
  <si>
    <t xml:space="preserve">川越市</t>
  </si>
  <si>
    <t xml:space="preserve">系統用蓄電池の開発許可取扱いページは検索で見つからず。</t>
  </si>
  <si>
    <t xml:space="preserve">kk-083</t>
  </si>
  <si>
    <t xml:space="preserve">川口市</t>
  </si>
  <si>
    <t xml:space="preserve">系統用蓄電池の開発許可取扱いページは検索で見つからず。市サイトには一般的な開発許可制度ページと定置用リチウムイオン蓄電池（住宅用）補助金ページのみ確認。</t>
  </si>
  <si>
    <t xml:space="preserve">kk-084</t>
  </si>
  <si>
    <t xml:space="preserve">越谷市</t>
  </si>
  <si>
    <t xml:space="preserve">系統用蓄電池の開発許可取扱いページは検索で見つからず。市サイトには一般的な開発行為等の手続きページのみ確認。</t>
  </si>
  <si>
    <t xml:space="preserve">kk-085</t>
  </si>
  <si>
    <t xml:space="preserve">船橋市</t>
  </si>
  <si>
    <r>
      <rPr>
        <sz val="10"/>
        <rFont val="WenQuanYi Zen Hei"/>
        <family val="2"/>
      </rPr>
      <t xml:space="preserve">「系統用蓄電池 開発許可」「蓄電池 第一種特定工作物」の</t>
    </r>
    <r>
      <rPr>
        <sz val="10"/>
        <rFont val="Meiryo"/>
        <family val="0"/>
        <charset val="1"/>
      </rPr>
      <t xml:space="preserve">2</t>
    </r>
    <r>
      <rPr>
        <sz val="10"/>
        <rFont val="WenQuanYi Zen Hei"/>
        <family val="2"/>
      </rPr>
      <t xml:space="preserve">検索で船橋市の開発許可取扱いページは検索結果に出現せず。ヒットは船橋市の住宅用太陽光・蓄電池補助金ページのみ。検索予算の都合で</t>
    </r>
    <r>
      <rPr>
        <sz val="10"/>
        <rFont val="Meiryo"/>
        <family val="0"/>
        <charset val="1"/>
      </rPr>
      <t xml:space="preserve">3</t>
    </r>
    <r>
      <rPr>
        <sz val="10"/>
        <rFont val="WenQuanYi Zen Hei"/>
        <family val="2"/>
      </rPr>
      <t xml:space="preserve">回目の検索は実施できず。</t>
    </r>
  </si>
  <si>
    <t xml:space="preserve">kk-086</t>
  </si>
  <si>
    <t xml:space="preserve">柏市</t>
  </si>
  <si>
    <r>
      <rPr>
        <sz val="10"/>
        <rFont val="WenQuanYi Zen Hei"/>
        <family val="2"/>
      </rPr>
      <t xml:space="preserve">「系統用蓄電池 開発許可」「蓄電池 第一種特定工作物」の</t>
    </r>
    <r>
      <rPr>
        <sz val="10"/>
        <rFont val="Meiryo"/>
        <family val="0"/>
        <charset val="1"/>
      </rPr>
      <t xml:space="preserve">2</t>
    </r>
    <r>
      <rPr>
        <sz val="10"/>
        <rFont val="WenQuanYi Zen Hei"/>
        <family val="2"/>
      </rPr>
      <t xml:space="preserve">検索で柏市の開発許可取扱いページは検索結果に出現せず。ヒットは柏市ゼロカーボンシティ補助制度や、市街化調整区域での系統用蓄電池の開発許可の難しさを解説する民間行政書士事務所の記事（柏市が固有名詞として言及されているのみ、市公式発表ではない）。検索予算の都合で</t>
    </r>
    <r>
      <rPr>
        <sz val="10"/>
        <rFont val="Meiryo"/>
        <family val="0"/>
        <charset val="1"/>
      </rPr>
      <t xml:space="preserve">3</t>
    </r>
    <r>
      <rPr>
        <sz val="10"/>
        <rFont val="WenQuanYi Zen Hei"/>
        <family val="2"/>
      </rPr>
      <t xml:space="preserve">回目の検索は実施できず。</t>
    </r>
  </si>
  <si>
    <t xml:space="preserve">kk-087</t>
  </si>
  <si>
    <t xml:space="preserve">八王子市</t>
  </si>
  <si>
    <r>
      <rPr>
        <sz val="10"/>
        <rFont val="WenQuanYi Zen Hei"/>
        <family val="2"/>
      </rPr>
      <t xml:space="preserve">「系統用蓄電池 開発許可」「蓄電池 第一種特定工作物」の</t>
    </r>
    <r>
      <rPr>
        <sz val="10"/>
        <rFont val="Meiryo"/>
        <family val="0"/>
        <charset val="1"/>
      </rPr>
      <t xml:space="preserve">2</t>
    </r>
    <r>
      <rPr>
        <sz val="10"/>
        <rFont val="WenQuanYi Zen Hei"/>
        <family val="2"/>
      </rPr>
      <t xml:space="preserve">検索で八王子市の開発許可取扱いページは検索結果に出現せず。ヒットは太陽光発電・蓄電池システム導入支援事業（補助金）ページのみ。検索予算の都合で</t>
    </r>
    <r>
      <rPr>
        <sz val="10"/>
        <rFont val="Meiryo"/>
        <family val="0"/>
        <charset val="1"/>
      </rPr>
      <t xml:space="preserve">3</t>
    </r>
    <r>
      <rPr>
        <sz val="10"/>
        <rFont val="WenQuanYi Zen Hei"/>
        <family val="2"/>
      </rPr>
      <t xml:space="preserve">回目の検索は実施できず。</t>
    </r>
  </si>
  <si>
    <t xml:space="preserve">kk-088</t>
  </si>
  <si>
    <t xml:space="preserve">横須賀市</t>
  </si>
  <si>
    <r>
      <rPr>
        <sz val="10"/>
        <rFont val="WenQuanYi Zen Hei"/>
        <family val="2"/>
      </rPr>
      <t xml:space="preserve">「系統用蓄電池 開発許可」「蓄電池 第一種特定工作物」の</t>
    </r>
    <r>
      <rPr>
        <sz val="10"/>
        <rFont val="Meiryo"/>
        <family val="0"/>
        <charset val="1"/>
      </rPr>
      <t xml:space="preserve">2</t>
    </r>
    <r>
      <rPr>
        <sz val="10"/>
        <rFont val="WenQuanYi Zen Hei"/>
        <family val="2"/>
      </rPr>
      <t xml:space="preserve">検索で横須賀市の開発許可取扱いページは検索結果に出現せず。開発行為の手引き一般ページ（</t>
    </r>
    <r>
      <rPr>
        <sz val="10"/>
        <rFont val="Meiryo"/>
        <family val="0"/>
        <charset val="1"/>
      </rPr>
      <t xml:space="preserve">city.yokosuka.kanagawa.jp/4830/kaihatu/kaihatukoui_no_tebiki.html</t>
    </r>
    <r>
      <rPr>
        <sz val="10"/>
        <rFont val="WenQuanYi Zen Hei"/>
        <family val="2"/>
      </rPr>
      <t xml:space="preserve">）はヒットしたが系統用蓄電池への言及は確認できず、太陽光発電・蓄電池補助金ページのみ確認。検索予算の都合で</t>
    </r>
    <r>
      <rPr>
        <sz val="10"/>
        <rFont val="Meiryo"/>
        <family val="0"/>
        <charset val="1"/>
      </rPr>
      <t xml:space="preserve">3</t>
    </r>
    <r>
      <rPr>
        <sz val="10"/>
        <rFont val="WenQuanYi Zen Hei"/>
        <family val="2"/>
      </rPr>
      <t xml:space="preserve">回目の検索は実施で</t>
    </r>
  </si>
  <si>
    <t xml:space="preserve">kk-089</t>
  </si>
  <si>
    <t xml:space="preserve">富山市</t>
  </si>
  <si>
    <r>
      <rPr>
        <sz val="10"/>
        <rFont val="WenQuanYi Zen Hei"/>
        <family val="2"/>
      </rPr>
      <t xml:space="preserve">「富山市 系統用蓄電池 開発許可」「富山市 蓄電池 第一種特定工作物」で検索したが、富山市の公表ページはヒットせず（補助金ページのみ）。</t>
    </r>
    <r>
      <rPr>
        <sz val="10"/>
        <rFont val="Meiryo"/>
        <family val="0"/>
        <charset val="1"/>
      </rPr>
      <t xml:space="preserve">WebSearch</t>
    </r>
    <r>
      <rPr>
        <sz val="10"/>
        <rFont val="WenQuanYi Zen Hei"/>
        <family val="2"/>
      </rPr>
      <t xml:space="preserve">予算切れのため</t>
    </r>
    <r>
      <rPr>
        <sz val="10"/>
        <rFont val="Meiryo"/>
        <family val="0"/>
        <charset val="1"/>
      </rPr>
      <t xml:space="preserve">3</t>
    </r>
    <r>
      <rPr>
        <sz val="10"/>
        <rFont val="WenQuanYi Zen Hei"/>
        <family val="2"/>
      </rPr>
      <t xml:space="preserve">回目未実施。</t>
    </r>
  </si>
  <si>
    <t xml:space="preserve">kk-090</t>
  </si>
  <si>
    <t xml:space="preserve">金沢市</t>
  </si>
  <si>
    <r>
      <rPr>
        <sz val="10"/>
        <rFont val="WenQuanYi Zen Hei"/>
        <family val="2"/>
      </rPr>
      <t xml:space="preserve">「金沢市 系統用蓄電池 開発許可」「金沢市 蓄電池 第一種特定工作物」で検索したが、金沢市の開発許可に関する公表ページはヒットせず。消防予防課の蓄電池設備設置届出書ページ（</t>
    </r>
    <r>
      <rPr>
        <sz val="10"/>
        <rFont val="Meiryo"/>
        <family val="0"/>
        <charset val="1"/>
      </rPr>
      <t xml:space="preserve">https://www4.city.kanazawa.lg.jp/soshikikarasagasu/yoboka/shinseishodownload/3/9122.html</t>
    </r>
    <r>
      <rPr>
        <sz val="10"/>
        <rFont val="WenQuanYi Zen Hei"/>
        <family val="2"/>
      </rPr>
      <t xml:space="preserve">）は確認できたが消防法上の届出であり開発許可制度の話</t>
    </r>
  </si>
  <si>
    <t xml:space="preserve">kk-091</t>
  </si>
  <si>
    <t xml:space="preserve">福井市</t>
  </si>
  <si>
    <r>
      <rPr>
        <sz val="10"/>
        <rFont val="WenQuanYi Zen Hei"/>
        <family val="2"/>
      </rPr>
      <t xml:space="preserve">「福井市 系統用蓄電池 開発許可」「福井市 蓄電池 第一種特定工作物」で検索したが、福井市の公表ページはヒットせず（補助金ページのみ）。</t>
    </r>
    <r>
      <rPr>
        <sz val="10"/>
        <rFont val="Meiryo"/>
        <family val="0"/>
        <charset val="1"/>
      </rPr>
      <t xml:space="preserve">WebSearch</t>
    </r>
    <r>
      <rPr>
        <sz val="10"/>
        <rFont val="WenQuanYi Zen Hei"/>
        <family val="2"/>
      </rPr>
      <t xml:space="preserve">予算切れのため</t>
    </r>
    <r>
      <rPr>
        <sz val="10"/>
        <rFont val="Meiryo"/>
        <family val="0"/>
        <charset val="1"/>
      </rPr>
      <t xml:space="preserve">3</t>
    </r>
    <r>
      <rPr>
        <sz val="10"/>
        <rFont val="WenQuanYi Zen Hei"/>
        <family val="2"/>
      </rPr>
      <t xml:space="preserve">回目未実施。</t>
    </r>
  </si>
  <si>
    <t xml:space="preserve">kk-092</t>
  </si>
  <si>
    <t xml:space="preserve">甲府市</t>
  </si>
  <si>
    <r>
      <rPr>
        <sz val="10"/>
        <rFont val="WenQuanYi Zen Hei"/>
        <family val="2"/>
      </rPr>
      <t xml:space="preserve">「甲府市 系統用蓄電池 開発許可」「甲府市 蓄電池 第一種特定工作物」で検索したが、甲府市の公表ページはヒットせず（クリーンエネルギー機器補助金ページのみ）。</t>
    </r>
    <r>
      <rPr>
        <sz val="10"/>
        <rFont val="Meiryo"/>
        <family val="0"/>
        <charset val="1"/>
      </rPr>
      <t xml:space="preserve">WebSearch</t>
    </r>
    <r>
      <rPr>
        <sz val="10"/>
        <rFont val="WenQuanYi Zen Hei"/>
        <family val="2"/>
      </rPr>
      <t xml:space="preserve">予算切れのため</t>
    </r>
    <r>
      <rPr>
        <sz val="10"/>
        <rFont val="Meiryo"/>
        <family val="0"/>
        <charset val="1"/>
      </rPr>
      <t xml:space="preserve">3</t>
    </r>
    <r>
      <rPr>
        <sz val="10"/>
        <rFont val="WenQuanYi Zen Hei"/>
        <family val="2"/>
      </rPr>
      <t xml:space="preserve">回目未実施。</t>
    </r>
  </si>
  <si>
    <t xml:space="preserve">kk-093</t>
  </si>
  <si>
    <t xml:space="preserve">長野市</t>
  </si>
  <si>
    <r>
      <rPr>
        <sz val="10"/>
        <rFont val="WenQuanYi Zen Hei"/>
        <family val="2"/>
      </rPr>
      <t xml:space="preserve">「長野市 系統用蓄電池 開発許可」「長野市 蓄電池 第一種特定工作物」で検索したが、長野市の公表ページはヒットせず（補助金・事業者向け解説記事のみ）。</t>
    </r>
    <r>
      <rPr>
        <sz val="10"/>
        <rFont val="Meiryo"/>
        <family val="0"/>
        <charset val="1"/>
      </rPr>
      <t xml:space="preserve">WebSearch</t>
    </r>
    <r>
      <rPr>
        <sz val="10"/>
        <rFont val="WenQuanYi Zen Hei"/>
        <family val="2"/>
      </rPr>
      <t xml:space="preserve">予算切れのため</t>
    </r>
    <r>
      <rPr>
        <sz val="10"/>
        <rFont val="Meiryo"/>
        <family val="0"/>
        <charset val="1"/>
      </rPr>
      <t xml:space="preserve">3</t>
    </r>
    <r>
      <rPr>
        <sz val="10"/>
        <rFont val="WenQuanYi Zen Hei"/>
        <family val="2"/>
      </rPr>
      <t xml:space="preserve">回目未実施。</t>
    </r>
  </si>
  <si>
    <t xml:space="preserve">kk-094</t>
  </si>
  <si>
    <t xml:space="preserve">松本市</t>
  </si>
  <si>
    <r>
      <rPr>
        <sz val="10"/>
        <rFont val="WenQuanYi Zen Hei"/>
        <family val="2"/>
      </rPr>
      <t xml:space="preserve">「松本市 系統用蓄電池 開発許可」「松本市 蓄電池 第一種特定工作物」で検索。松本市公式ページはヒットせず、民間行政書士事務所のブログ記事（調整区域に系統用蓄電池を置きたい方へ）のみで市の公式公表は未確認。松本市開発審査課（</t>
    </r>
    <r>
      <rPr>
        <sz val="10"/>
        <rFont val="Meiryo"/>
        <family val="0"/>
        <charset val="1"/>
      </rPr>
      <t xml:space="preserve">0263-34-3285</t>
    </r>
    <r>
      <rPr>
        <sz val="10"/>
        <rFont val="WenQuanYi Zen Hei"/>
        <family val="2"/>
      </rPr>
      <t xml:space="preserve">）への直接確認が必要。</t>
    </r>
    <r>
      <rPr>
        <sz val="10"/>
        <rFont val="Meiryo"/>
        <family val="0"/>
        <charset val="1"/>
      </rPr>
      <t xml:space="preserve">WebSearch</t>
    </r>
    <r>
      <rPr>
        <sz val="10"/>
        <rFont val="WenQuanYi Zen Hei"/>
        <family val="2"/>
      </rPr>
      <t xml:space="preserve">予算切れのため</t>
    </r>
    <r>
      <rPr>
        <sz val="10"/>
        <rFont val="Meiryo"/>
        <family val="0"/>
        <charset val="1"/>
      </rPr>
      <t xml:space="preserve">3</t>
    </r>
    <r>
      <rPr>
        <sz val="10"/>
        <rFont val="WenQuanYi Zen Hei"/>
        <family val="2"/>
      </rPr>
      <t xml:space="preserve">回目未実施。</t>
    </r>
  </si>
  <si>
    <t xml:space="preserve">kk-095</t>
  </si>
  <si>
    <t xml:space="preserve">岐阜市</t>
  </si>
  <si>
    <r>
      <rPr>
        <sz val="10"/>
        <rFont val="WenQuanYi Zen Hei"/>
        <family val="2"/>
      </rPr>
      <t xml:space="preserve">「系統用蓄電池 開発許可」「蓄電池 第一種特定工作物 開発許可」で検索し、岐阜市の一般開発許可ページ（</t>
    </r>
    <r>
      <rPr>
        <sz val="10"/>
        <rFont val="Meiryo"/>
        <family val="0"/>
        <charset val="1"/>
      </rPr>
      <t xml:space="preserve">city.gifu.lg.jp/info/machizukuri/1008055/1008090/1008091.html</t>
    </r>
    <r>
      <rPr>
        <sz val="10"/>
        <rFont val="WenQuanYi Zen Hei"/>
        <family val="2"/>
      </rPr>
      <t xml:space="preserve">、</t>
    </r>
    <r>
      <rPr>
        <sz val="10"/>
        <rFont val="Meiryo"/>
        <family val="0"/>
        <charset val="1"/>
      </rPr>
      <t xml:space="preserve">2026</t>
    </r>
    <r>
      <rPr>
        <sz val="10"/>
        <rFont val="WenQuanYi Zen Hei"/>
        <family val="2"/>
      </rPr>
      <t xml:space="preserve">年</t>
    </r>
    <r>
      <rPr>
        <sz val="10"/>
        <rFont val="Meiryo"/>
        <family val="0"/>
        <charset val="1"/>
      </rPr>
      <t xml:space="preserve">7</t>
    </r>
    <r>
      <rPr>
        <sz val="10"/>
        <rFont val="WenQuanYi Zen Hei"/>
        <family val="2"/>
      </rPr>
      <t xml:space="preserve">月</t>
    </r>
    <r>
      <rPr>
        <sz val="10"/>
        <rFont val="Meiryo"/>
        <family val="0"/>
        <charset val="1"/>
      </rPr>
      <t xml:space="preserve">22</t>
    </r>
    <r>
      <rPr>
        <sz val="10"/>
        <rFont val="WenQuanYi Zen Hei"/>
        <family val="2"/>
      </rPr>
      <t xml:space="preserve">日付『</t>
    </r>
    <r>
      <rPr>
        <sz val="10"/>
        <rFont val="Meiryo"/>
        <family val="0"/>
        <charset val="1"/>
      </rPr>
      <t xml:space="preserve">1.</t>
    </r>
    <r>
      <rPr>
        <sz val="10"/>
        <rFont val="WenQuanYi Zen Hei"/>
        <family val="2"/>
      </rPr>
      <t xml:space="preserve">開発許可が必要な場合』）を</t>
    </r>
    <r>
      <rPr>
        <sz val="10"/>
        <rFont val="Meiryo"/>
        <family val="0"/>
        <charset val="1"/>
      </rPr>
      <t xml:space="preserve">WebFetch</t>
    </r>
    <r>
      <rPr>
        <sz val="10"/>
        <rFont val="WenQuanYi Zen Hei"/>
        <family val="2"/>
      </rPr>
      <t xml:space="preserve">で確認したが、蓄電池・系統用蓄電池に関する記載はなし（第一種特定工作物の例示はコンクリートプラント等のみ</t>
    </r>
  </si>
  <si>
    <t xml:space="preserve">kk-096</t>
  </si>
  <si>
    <t xml:space="preserve">豊橋市</t>
  </si>
  <si>
    <r>
      <rPr>
        <sz val="10"/>
        <rFont val="WenQuanYi Zen Hei"/>
        <family val="2"/>
      </rPr>
      <t xml:space="preserve">「系統用蓄電池 開発許可」で検索したが豊橋市公式ページはヒットせず。ヒットしたのは消防関連の蓄電池設備設置届（急速充電設備／燃料電池発電設備／発電設備／変電設備／蓄電池設備設置届）と太陽光・蓄電池補助金のみ。開発許可制度に関する取扱い公表は検索結果に見当たらない。時間・検索予算の制約により</t>
    </r>
    <r>
      <rPr>
        <sz val="10"/>
        <rFont val="Meiryo"/>
        <family val="0"/>
        <charset val="1"/>
      </rPr>
      <t xml:space="preserve">2</t>
    </r>
    <r>
      <rPr>
        <sz val="10"/>
        <rFont val="WenQuanYi Zen Hei"/>
        <family val="2"/>
      </rPr>
      <t xml:space="preserve">回目・</t>
    </r>
    <r>
      <rPr>
        <sz val="10"/>
        <rFont val="Meiryo"/>
        <family val="0"/>
        <charset val="1"/>
      </rPr>
      <t xml:space="preserve">3</t>
    </r>
    <r>
      <rPr>
        <sz val="10"/>
        <rFont val="WenQuanYi Zen Hei"/>
        <family val="2"/>
      </rPr>
      <t xml:space="preserve">回目の検索は未実施。</t>
    </r>
  </si>
  <si>
    <t xml:space="preserve">kk-097</t>
  </si>
  <si>
    <t xml:space="preserve">岡崎市</t>
  </si>
  <si>
    <r>
      <rPr>
        <sz val="10"/>
        <rFont val="WenQuanYi Zen Hei"/>
        <family val="2"/>
      </rPr>
      <t xml:space="preserve">「系統用蓄電池 開発許可」で検索し、岡崎市の開発許可・宅造許可ページ（</t>
    </r>
    <r>
      <rPr>
        <sz val="10"/>
        <rFont val="Meiryo"/>
        <family val="0"/>
        <charset val="1"/>
      </rPr>
      <t xml:space="preserve">city.okazaki.lg.jp/1400/1671/1673/index.html</t>
    </r>
    <r>
      <rPr>
        <sz val="10"/>
        <rFont val="WenQuanYi Zen Hei"/>
        <family val="2"/>
      </rPr>
      <t xml:space="preserve">）を</t>
    </r>
    <r>
      <rPr>
        <sz val="10"/>
        <rFont val="Meiryo"/>
        <family val="0"/>
        <charset val="1"/>
      </rPr>
      <t xml:space="preserve">WebFetch</t>
    </r>
    <r>
      <rPr>
        <sz val="10"/>
        <rFont val="WenQuanYi Zen Hei"/>
        <family val="2"/>
      </rPr>
      <t xml:space="preserve">で確認したが、系統用蓄電池・第一種特定工作物としての蓄電池に関する記載はなし。ヒットしたのは家庭用蓄電池補助金（地球温暖化対策設備設置費補助金）のみ。時間・検索予算の制約により</t>
    </r>
    <r>
      <rPr>
        <sz val="10"/>
        <rFont val="Meiryo"/>
        <family val="0"/>
        <charset val="1"/>
      </rPr>
      <t xml:space="preserve">3</t>
    </r>
    <r>
      <rPr>
        <sz val="10"/>
        <rFont val="WenQuanYi Zen Hei"/>
        <family val="2"/>
      </rPr>
      <t xml:space="preserve">回目の検索は未実施。</t>
    </r>
  </si>
  <si>
    <t xml:space="preserve">kk-098</t>
  </si>
  <si>
    <t xml:space="preserve">一宮市</t>
  </si>
  <si>
    <r>
      <rPr>
        <sz val="10"/>
        <rFont val="WenQuanYi Zen Hei"/>
        <family val="2"/>
      </rPr>
      <t xml:space="preserve">「系統用蓄電池 開発許可」で検索したが一宮市公式ページはヒットせず。ヒットしたのは家庭用蓄電池補助金・共同購入事業のみ。開発許可制度に関する取扱い公表は検索結果に見当たらない。時間・検索予算の制約により</t>
    </r>
    <r>
      <rPr>
        <sz val="10"/>
        <rFont val="Meiryo"/>
        <family val="0"/>
        <charset val="1"/>
      </rPr>
      <t xml:space="preserve">2</t>
    </r>
    <r>
      <rPr>
        <sz val="10"/>
        <rFont val="WenQuanYi Zen Hei"/>
        <family val="2"/>
      </rPr>
      <t xml:space="preserve">回目・</t>
    </r>
    <r>
      <rPr>
        <sz val="10"/>
        <rFont val="Meiryo"/>
        <family val="0"/>
        <charset val="1"/>
      </rPr>
      <t xml:space="preserve">3</t>
    </r>
    <r>
      <rPr>
        <sz val="10"/>
        <rFont val="WenQuanYi Zen Hei"/>
        <family val="2"/>
      </rPr>
      <t xml:space="preserve">回目の検索は未実施。</t>
    </r>
  </si>
  <si>
    <t xml:space="preserve">kk-099</t>
  </si>
  <si>
    <t xml:space="preserve">豊田市</t>
  </si>
  <si>
    <r>
      <rPr>
        <sz val="10"/>
        <rFont val="WenQuanYi Zen Hei"/>
        <family val="2"/>
      </rPr>
      <t xml:space="preserve">「系統用蓄電池 開発許可」で検索したが豊田市公式ページはヒットせず。ヒットしたのは新エネルギー活用促進補助金・エコファミリー支援補助金など蓄電池補助金関連のみ。開発許可制度に関する取扱い公表は検索結果に見当たらない。時間・検索予算の制約により</t>
    </r>
    <r>
      <rPr>
        <sz val="10"/>
        <rFont val="Meiryo"/>
        <family val="0"/>
        <charset val="1"/>
      </rPr>
      <t xml:space="preserve">2</t>
    </r>
    <r>
      <rPr>
        <sz val="10"/>
        <rFont val="WenQuanYi Zen Hei"/>
        <family val="2"/>
      </rPr>
      <t xml:space="preserve">回目・</t>
    </r>
    <r>
      <rPr>
        <sz val="10"/>
        <rFont val="Meiryo"/>
        <family val="0"/>
        <charset val="1"/>
      </rPr>
      <t xml:space="preserve">3</t>
    </r>
    <r>
      <rPr>
        <sz val="10"/>
        <rFont val="WenQuanYi Zen Hei"/>
        <family val="2"/>
      </rPr>
      <t xml:space="preserve">回目の検索は未実施。</t>
    </r>
  </si>
  <si>
    <t xml:space="preserve">kk-100</t>
  </si>
  <si>
    <r>
      <rPr>
        <sz val="10"/>
        <rFont val="WenQuanYi Zen Hei"/>
        <family val="2"/>
      </rPr>
      <t xml:space="preserve">同一内容が </t>
    </r>
    <r>
      <rPr>
        <sz val="10"/>
        <rFont val="Meiryo"/>
        <family val="0"/>
        <charset val="1"/>
      </rPr>
      <t xml:space="preserve">https://www.city.otsu.lg.jp/soshiki/035/1308/g/k/73619.html </t>
    </r>
    <r>
      <rPr>
        <sz val="10"/>
        <rFont val="WenQuanYi Zen Hei"/>
        <family val="2"/>
      </rPr>
      <t xml:space="preserve">にも掲載（検索結果に実際に出現した</t>
    </r>
    <r>
      <rPr>
        <sz val="10"/>
        <rFont val="Meiryo"/>
        <family val="0"/>
        <charset val="1"/>
      </rPr>
      <t xml:space="preserve">URL</t>
    </r>
    <r>
      <rPr>
        <sz val="10"/>
        <rFont val="WenQuanYi Zen Hei"/>
        <family val="2"/>
      </rPr>
      <t xml:space="preserve">）。両</t>
    </r>
    <r>
      <rPr>
        <sz val="10"/>
        <rFont val="Meiryo"/>
        <family val="0"/>
        <charset val="1"/>
      </rPr>
      <t xml:space="preserve">URL</t>
    </r>
    <r>
      <rPr>
        <sz val="10"/>
        <rFont val="WenQuanYi Zen Hei"/>
        <family val="2"/>
      </rPr>
      <t xml:space="preserve">とも</t>
    </r>
    <r>
      <rPr>
        <sz val="10"/>
        <rFont val="Meiryo"/>
        <family val="0"/>
        <charset val="1"/>
      </rPr>
      <t xml:space="preserve">WebFetch</t>
    </r>
    <r>
      <rPr>
        <sz val="10"/>
        <rFont val="WenQuanYi Zen Hei"/>
        <family val="2"/>
      </rPr>
      <t xml:space="preserve">で内容確認済み。</t>
    </r>
  </si>
  <si>
    <t xml:space="preserve">kk-101</t>
  </si>
  <si>
    <t xml:space="preserve">豊中市</t>
  </si>
  <si>
    <r>
      <rPr>
        <sz val="10"/>
        <rFont val="Meiryo"/>
        <family val="0"/>
        <charset val="1"/>
      </rPr>
      <t xml:space="preserve">WebSearch</t>
    </r>
    <r>
      <rPr>
        <sz val="10"/>
        <rFont val="WenQuanYi Zen Hei"/>
        <family val="2"/>
      </rPr>
      <t xml:space="preserve">で「豊中市 系統用蓄電池 開発許可」を実施。豊中市の開発審査課ページ（</t>
    </r>
    <r>
      <rPr>
        <sz val="10"/>
        <rFont val="Meiryo"/>
        <family val="0"/>
        <charset val="1"/>
      </rPr>
      <t xml:space="preserve">https://www.city.toyonaka.osaka.jp/joho/kakubu/toshikeikakusuishin/kaihatsu.html</t>
    </r>
    <r>
      <rPr>
        <sz val="10"/>
        <rFont val="WenQuanYi Zen Hei"/>
        <family val="2"/>
      </rPr>
      <t xml:space="preserve">）と都市計画法手続きページ（</t>
    </r>
    <r>
      <rPr>
        <sz val="10"/>
        <rFont val="Meiryo"/>
        <family val="0"/>
        <charset val="1"/>
      </rPr>
      <t xml:space="preserve">https://www.city.toyonaka.osaka.jp/machi/kenchiku_kaihatsu/tok</t>
    </r>
  </si>
  <si>
    <t xml:space="preserve">kk-102</t>
  </si>
  <si>
    <t xml:space="preserve">吹田市</t>
  </si>
  <si>
    <r>
      <rPr>
        <sz val="10"/>
        <rFont val="Meiryo"/>
        <family val="0"/>
        <charset val="1"/>
      </rPr>
      <t xml:space="preserve">WebSearch</t>
    </r>
    <r>
      <rPr>
        <sz val="10"/>
        <rFont val="WenQuanYi Zen Hei"/>
        <family val="2"/>
      </rPr>
      <t xml:space="preserve">で「吹田市 系統用蓄電池 開発許可」を実施したが、吹田市自身による公表ページはヒットせず。吹田市都市計画部のトップページ（</t>
    </r>
    <r>
      <rPr>
        <sz val="10"/>
        <rFont val="Meiryo"/>
        <family val="0"/>
        <charset val="1"/>
      </rPr>
      <t xml:space="preserve">https://www.city.suita.osaka.jp/home/soshiki/div-toshikeikaku.html</t>
    </r>
    <r>
      <rPr>
        <sz val="10"/>
        <rFont val="WenQuanYi Zen Hei"/>
        <family val="2"/>
      </rPr>
      <t xml:space="preserve">）は出たが系統用蓄電池に関する個別記事は確認できなかった。</t>
    </r>
  </si>
  <si>
    <t xml:space="preserve">kk-103</t>
  </si>
  <si>
    <t xml:space="preserve">高槻市</t>
  </si>
  <si>
    <r>
      <rPr>
        <sz val="10"/>
        <rFont val="Meiryo"/>
        <family val="0"/>
        <charset val="1"/>
      </rPr>
      <t xml:space="preserve">WebSearch</t>
    </r>
    <r>
      <rPr>
        <sz val="10"/>
        <rFont val="WenQuanYi Zen Hei"/>
        <family val="2"/>
      </rPr>
      <t xml:space="preserve">で「高槻市 系統用蓄電池 開発許可」を実施。開発指導ページ（</t>
    </r>
    <r>
      <rPr>
        <sz val="10"/>
        <rFont val="Meiryo"/>
        <family val="0"/>
        <charset val="1"/>
      </rPr>
      <t xml:space="preserve">https://www.city.takatsuki.osaka.jp/life/8/83/433/</t>
    </r>
    <r>
      <rPr>
        <sz val="10"/>
        <rFont val="WenQuanYi Zen Hei"/>
        <family val="2"/>
      </rPr>
      <t xml:space="preserve">）がヒットしたが</t>
    </r>
    <r>
      <rPr>
        <sz val="10"/>
        <rFont val="Meiryo"/>
        <family val="0"/>
        <charset val="1"/>
      </rPr>
      <t xml:space="preserve">WebFetch</t>
    </r>
    <r>
      <rPr>
        <sz val="10"/>
        <rFont val="WenQuanYi Zen Hei"/>
        <family val="2"/>
      </rPr>
      <t xml:space="preserve">は</t>
    </r>
    <r>
      <rPr>
        <sz val="10"/>
        <rFont val="Meiryo"/>
        <family val="0"/>
        <charset val="1"/>
      </rPr>
      <t xml:space="preserve">HTTP 503</t>
    </r>
    <r>
      <rPr>
        <sz val="10"/>
        <rFont val="WenQuanYi Zen Hei"/>
        <family val="2"/>
      </rPr>
      <t xml:space="preserve">で失敗。検索結果スニペットからも系統用蓄電池に関する明確な記載は確認できなかった。</t>
    </r>
  </si>
  <si>
    <t xml:space="preserve">kk-104</t>
  </si>
  <si>
    <t xml:space="preserve">枚方市</t>
  </si>
  <si>
    <r>
      <rPr>
        <sz val="10"/>
        <rFont val="Meiryo"/>
        <family val="0"/>
        <charset val="1"/>
      </rPr>
      <t xml:space="preserve">WebSearch</t>
    </r>
    <r>
      <rPr>
        <sz val="10"/>
        <rFont val="WenQuanYi Zen Hei"/>
        <family val="2"/>
      </rPr>
      <t xml:space="preserve">で「枚方市 系統用蓄電池 開発許可」を実施したが、枚方市自身による公表ページはヒットせず。ヒットしたのは家庭用太陽光・蓄電池補助金関連ページのみ。</t>
    </r>
  </si>
  <si>
    <t xml:space="preserve">kk-105</t>
  </si>
  <si>
    <t xml:space="preserve">八尾市</t>
  </si>
  <si>
    <r>
      <rPr>
        <sz val="10"/>
        <rFont val="Meiryo"/>
        <family val="0"/>
        <charset val="1"/>
      </rPr>
      <t xml:space="preserve">WebSearch</t>
    </r>
    <r>
      <rPr>
        <sz val="10"/>
        <rFont val="WenQuanYi Zen Hei"/>
        <family val="2"/>
      </rPr>
      <t xml:space="preserve">で「八尾市 系統用蓄電池 開発許可」を実施。八尾市の開発カテゴリページ（</t>
    </r>
    <r>
      <rPr>
        <sz val="10"/>
        <rFont val="Meiryo"/>
        <family val="0"/>
        <charset val="1"/>
      </rPr>
      <t xml:space="preserve">https://www.city.yao.osaka.jp/category/5-16-0-0-0.html</t>
    </r>
    <r>
      <rPr>
        <sz val="10"/>
        <rFont val="WenQuanYi Zen Hei"/>
        <family val="2"/>
      </rPr>
      <t xml:space="preserve">）がヒットしたが</t>
    </r>
    <r>
      <rPr>
        <sz val="10"/>
        <rFont val="Meiryo"/>
        <family val="0"/>
        <charset val="1"/>
      </rPr>
      <t xml:space="preserve">WebFetch</t>
    </r>
    <r>
      <rPr>
        <sz val="10"/>
        <rFont val="WenQuanYi Zen Hei"/>
        <family val="2"/>
      </rPr>
      <t xml:space="preserve">は</t>
    </r>
    <r>
      <rPr>
        <sz val="10"/>
        <rFont val="Meiryo"/>
        <family val="0"/>
        <charset val="1"/>
      </rPr>
      <t xml:space="preserve">HTTP 503</t>
    </r>
    <r>
      <rPr>
        <sz val="10"/>
        <rFont val="WenQuanYi Zen Hei"/>
        <family val="2"/>
      </rPr>
      <t xml:space="preserve">で失敗。検索結果スニペットからも系統用蓄電池に関する個別の公表は確認できなかった。</t>
    </r>
  </si>
  <si>
    <t xml:space="preserve">kk-106</t>
  </si>
  <si>
    <t xml:space="preserve">寝屋川市</t>
  </si>
  <si>
    <r>
      <rPr>
        <sz val="10"/>
        <rFont val="Meiryo"/>
        <family val="0"/>
        <charset val="1"/>
      </rPr>
      <t xml:space="preserve">WebSearch</t>
    </r>
    <r>
      <rPr>
        <sz val="10"/>
        <rFont val="WenQuanYi Zen Hei"/>
        <family val="2"/>
      </rPr>
      <t xml:space="preserve">で「寝屋川市 系統用蓄電池 開発許可」を実施したが、寝屋川市自身による公表ページはヒットせず。ヒットしたのは太陽光発電システム設置補助金関連ページのみ。</t>
    </r>
  </si>
  <si>
    <t xml:space="preserve">kk-107</t>
  </si>
  <si>
    <t xml:space="preserve">東大阪市</t>
  </si>
  <si>
    <r>
      <rPr>
        <sz val="10"/>
        <rFont val="Meiryo"/>
        <family val="0"/>
        <charset val="1"/>
      </rPr>
      <t xml:space="preserve">WebSearch</t>
    </r>
    <r>
      <rPr>
        <sz val="10"/>
        <rFont val="WenQuanYi Zen Hei"/>
        <family val="2"/>
      </rPr>
      <t xml:space="preserve">で「東大阪市 系統用蓄電池 開発許可」を実施したが、東大阪市自身による公表ページはヒットせず。ヒットしたのは事業者向け太陽光発電設備設置補助金関連ページのみ。</t>
    </r>
  </si>
  <si>
    <t xml:space="preserve">kk-108</t>
  </si>
  <si>
    <t xml:space="preserve">姫路市</t>
  </si>
  <si>
    <r>
      <rPr>
        <sz val="10"/>
        <rFont val="WenQuanYi Zen Hei"/>
        <family val="2"/>
      </rPr>
      <t xml:space="preserve">検索結果には姫路市公式サイトの系統用蓄電池専用ページは出てこず、兵庫県公表ページ（</t>
    </r>
    <r>
      <rPr>
        <sz val="10"/>
        <rFont val="Meiryo"/>
        <family val="0"/>
        <charset val="1"/>
      </rPr>
      <t xml:space="preserve">web.pref.hyogo.lg.jp</t>
    </r>
    <r>
      <rPr>
        <sz val="10"/>
        <rFont val="WenQuanYi Zen Hei"/>
        <family val="2"/>
      </rPr>
      <t xml:space="preserve">）と姫路市の太陽光・蓄電池補助金ページのみがヒット。姫路市独自の公表は未確認。検索回数上限のため第一種特定工作物ワードでの追加検索は未実施。</t>
    </r>
  </si>
  <si>
    <t xml:space="preserve">kk-109</t>
  </si>
  <si>
    <t xml:space="preserve">尼崎市</t>
  </si>
  <si>
    <r>
      <rPr>
        <sz val="10"/>
        <rFont val="WenQuanYi Zen Hei"/>
        <family val="2"/>
      </rPr>
      <t xml:space="preserve">検索でヒットした尼崎市公式ページ「開発許可の基準」</t>
    </r>
    <r>
      <rPr>
        <sz val="10"/>
        <rFont val="Meiryo"/>
        <family val="0"/>
        <charset val="1"/>
      </rPr>
      <t xml:space="preserve">(https://www.city.amagasaki.hyogo.jp/kurashi/tosi_seibi/kentiku/076kyokakijunn/076kijun.html) </t>
    </r>
    <r>
      <rPr>
        <sz val="10"/>
        <rFont val="WenQuanYi Zen Hei"/>
        <family val="2"/>
      </rPr>
      <t xml:space="preserve">を</t>
    </r>
    <r>
      <rPr>
        <sz val="10"/>
        <rFont val="Meiryo"/>
        <family val="0"/>
        <charset val="1"/>
      </rPr>
      <t xml:space="preserve">WebFetch</t>
    </r>
    <r>
      <rPr>
        <sz val="10"/>
        <rFont val="WenQuanYi Zen Hei"/>
        <family val="2"/>
      </rPr>
      <t xml:space="preserve">で確認したが、系統用蓄電池に関する個別記載はなし。系統用蓄電池専用の公表ページは検索結果に出てこなかった。</t>
    </r>
  </si>
  <si>
    <t xml:space="preserve">kk-110</t>
  </si>
  <si>
    <t xml:space="preserve">明石市</t>
  </si>
  <si>
    <t xml:space="preserve">検索結果は家庭用・事業者用の太陽光発電・蓄電池補助金ページ、蓄電池設備設置届出書（消防）のみで、開発許可の取扱いに関する公表ページは見つからなかった。</t>
  </si>
  <si>
    <t xml:space="preserve">kk-111</t>
  </si>
  <si>
    <t xml:space="preserve">西宮市</t>
  </si>
  <si>
    <r>
      <rPr>
        <sz val="10"/>
        <rFont val="WenQuanYi Zen Hei"/>
        <family val="2"/>
      </rPr>
      <t xml:space="preserve">検索でヒットした西宮市「開発審査課」ページ</t>
    </r>
    <r>
      <rPr>
        <sz val="10"/>
        <rFont val="Meiryo"/>
        <family val="0"/>
        <charset val="1"/>
      </rPr>
      <t xml:space="preserve">(https://www.nishi.or.jp/soshiki/01550040/0165004035/016800403531/index.html)</t>
    </r>
    <r>
      <rPr>
        <sz val="10"/>
        <rFont val="WenQuanYi Zen Hei"/>
        <family val="2"/>
      </rPr>
      <t xml:space="preserve">を</t>
    </r>
    <r>
      <rPr>
        <sz val="10"/>
        <rFont val="Meiryo"/>
        <family val="0"/>
        <charset val="1"/>
      </rPr>
      <t xml:space="preserve">WebFetch</t>
    </r>
    <r>
      <rPr>
        <sz val="10"/>
        <rFont val="WenQuanYi Zen Hei"/>
        <family val="2"/>
      </rPr>
      <t xml:space="preserve">で確認したが、系統用蓄電池に関する記載やリンクはなし。系統用蓄電池専用の公表ページは検索結果に出てこなかった。</t>
    </r>
  </si>
  <si>
    <t xml:space="preserve">kk-112</t>
  </si>
  <si>
    <t xml:space="preserve">奈良市</t>
  </si>
  <si>
    <t xml:space="preserve">検索結果は奈良市地域脱炭素移行・再エネ推進事業補助金ページ（住宅用蓄電池補助）のみで、開発許可の取扱いに関する公表ページは見つからなかった。</t>
  </si>
  <si>
    <t xml:space="preserve">kk-113</t>
  </si>
  <si>
    <t xml:space="preserve">和歌山市</t>
  </si>
  <si>
    <t xml:space="preserve">検索結果は個人宅向け太陽光発電・家庭用蓄電池補助金ページのみで、開発許可の取扱いに関する公表ページは見つからなかった。</t>
  </si>
  <si>
    <t xml:space="preserve">kk-114</t>
  </si>
  <si>
    <t xml:space="preserve">kk-115</t>
  </si>
  <si>
    <t xml:space="preserve">松江市</t>
  </si>
  <si>
    <t xml:space="preserve">市公式サイト内検索でも該当ページを発見できず（ヒットしたのは家庭用蓄電池補助金・消防用設備届出等のみ）。市としての公表は未確認。</t>
  </si>
  <si>
    <t xml:space="preserve">kk-116</t>
  </si>
  <si>
    <t xml:space="preserve">倉敷市</t>
  </si>
  <si>
    <t xml:space="preserve">「系統用蓄電池」「第一種特定工作物」等での検索で市公式サイトの該当ページを発見できず。市としての公表は未確認。</t>
  </si>
  <si>
    <t xml:space="preserve">kk-117</t>
  </si>
  <si>
    <t xml:space="preserve">ユーザー提供情報の通り公表を確認済み。</t>
  </si>
  <si>
    <t xml:space="preserve">kk-118</t>
  </si>
  <si>
    <t xml:space="preserve">福山市</t>
  </si>
  <si>
    <t xml:space="preserve">検索でヒットしたのは「事業者向け創エネ・蓄エネ・省エネ設備導入等補助金交付要綱」のみで、開発許可の取扱いに関する公表ページは未発見。</t>
  </si>
  <si>
    <t xml:space="preserve">kk-119</t>
  </si>
  <si>
    <t xml:space="preserve">下関市</t>
  </si>
  <si>
    <r>
      <rPr>
        <sz val="10"/>
        <rFont val="WenQuanYi Zen Hei"/>
        <family val="2"/>
      </rPr>
      <t xml:space="preserve">市の「開発行為の許可について」ページ</t>
    </r>
    <r>
      <rPr>
        <sz val="10"/>
        <rFont val="Meiryo"/>
        <family val="0"/>
        <charset val="1"/>
      </rPr>
      <t xml:space="preserve">(city.shimonoseki.lg.jp/soshiki/77/94669.html)</t>
    </r>
    <r>
      <rPr>
        <sz val="10"/>
        <rFont val="WenQuanYi Zen Hei"/>
        <family val="2"/>
      </rPr>
      <t xml:space="preserve">を確認したが、系統用蓄電池に関する記載や専用ページへのリンクなし。</t>
    </r>
  </si>
  <si>
    <t xml:space="preserve">kk-120</t>
  </si>
  <si>
    <t xml:space="preserve">高松市</t>
  </si>
  <si>
    <t xml:space="preserve">kk-121</t>
  </si>
  <si>
    <t xml:space="preserve">松山市</t>
  </si>
  <si>
    <t xml:space="preserve">kk-122</t>
  </si>
  <si>
    <t xml:space="preserve">高知市</t>
  </si>
  <si>
    <t xml:space="preserve">検索でヒットしたのは「高知市新エネルギービジョン」「高知市環境白書」等のみで、開発許可の取扱いに関する公表ページは未発見。</t>
  </si>
  <si>
    <t xml:space="preserve">kk-123</t>
  </si>
  <si>
    <t xml:space="preserve">久留米市</t>
  </si>
  <si>
    <t xml:space="preserve">kk-124</t>
  </si>
  <si>
    <t xml:space="preserve">長崎市</t>
  </si>
  <si>
    <r>
      <rPr>
        <sz val="10"/>
        <rFont val="WenQuanYi Zen Hei"/>
        <family val="2"/>
      </rPr>
      <t xml:space="preserve">都市計画法の開発許可制度・様式および条例等ページ</t>
    </r>
    <r>
      <rPr>
        <sz val="10"/>
        <rFont val="Meiryo"/>
        <family val="0"/>
        <charset val="1"/>
      </rPr>
      <t xml:space="preserve">(https://www.city.nagasaki.lg.jp/page/3542.html)</t>
    </r>
    <r>
      <rPr>
        <sz val="10"/>
        <rFont val="WenQuanYi Zen Hei"/>
        <family val="2"/>
      </rPr>
      <t xml:space="preserve">を確認したが蓄電池に関する記載・リンクなし。</t>
    </r>
  </si>
  <si>
    <t xml:space="preserve">kk-125</t>
  </si>
  <si>
    <t xml:space="preserve">佐世保市</t>
  </si>
  <si>
    <r>
      <rPr>
        <sz val="10"/>
        <rFont val="WenQuanYi Zen Hei"/>
        <family val="2"/>
      </rPr>
      <t xml:space="preserve">開発許可の一般ページ</t>
    </r>
    <r>
      <rPr>
        <sz val="10"/>
        <rFont val="Meiryo"/>
        <family val="0"/>
        <charset val="1"/>
      </rPr>
      <t xml:space="preserve">(https://www.city.sasebo.lg.jp/tosiseibi/kaihatu/kaihatsukyoka.html)</t>
    </r>
    <r>
      <rPr>
        <sz val="10"/>
        <rFont val="WenQuanYi Zen Hei"/>
        <family val="2"/>
      </rPr>
      <t xml:space="preserve">を確認したが蓄電池に関する記載なし。</t>
    </r>
  </si>
  <si>
    <t xml:space="preserve">kk-126</t>
  </si>
  <si>
    <r>
      <rPr>
        <sz val="10"/>
        <rFont val="WenQuanYi Zen Hei"/>
        <family val="2"/>
      </rPr>
      <t xml:space="preserve">大分市／開発許可等ページ</t>
    </r>
    <r>
      <rPr>
        <sz val="10"/>
        <rFont val="Meiryo"/>
        <family val="0"/>
        <charset val="1"/>
      </rPr>
      <t xml:space="preserve">(https://www.city.oita.oita.jp/o173/shigotosangyo/tochitorihiki/1492385851833.html)</t>
    </r>
    <r>
      <rPr>
        <sz val="10"/>
        <rFont val="WenQuanYi Zen Hei"/>
        <family val="2"/>
      </rPr>
      <t xml:space="preserve">の関連リンクからも確認。</t>
    </r>
  </si>
  <si>
    <t xml:space="preserve">kk-127</t>
  </si>
  <si>
    <t xml:space="preserve">宮崎市</t>
  </si>
  <si>
    <t xml:space="preserve">系統用蓄電池に関する公表は検索で確認できなかった。再エネ発電事業の法令手続き相談ページ等は存在するが蓄電池特化の開発許可取扱いは未確認。</t>
  </si>
  <si>
    <t xml:space="preserve">kk-128</t>
  </si>
  <si>
    <t xml:space="preserve">鹿児島市</t>
  </si>
  <si>
    <t xml:space="preserve">kk-129</t>
  </si>
  <si>
    <t xml:space="preserve">那覇市</t>
  </si>
  <si>
    <t xml:space="preserve">kk-130</t>
  </si>
  <si>
    <t xml:space="preserve">つくば市</t>
  </si>
  <si>
    <t xml:space="preserve">施行時特例市</t>
  </si>
  <si>
    <r>
      <rPr>
        <sz val="10"/>
        <rFont val="WenQuanYi Zen Hei"/>
        <family val="2"/>
      </rPr>
      <t xml:space="preserve">系統用蓄電池の開発許可取扱いページは検索で見つからず。市には「再生可能エネルギー発電設備の適正な設置及び管理に関する条例」（令和</t>
    </r>
    <r>
      <rPr>
        <sz val="10"/>
        <rFont val="Meiryo"/>
        <family val="0"/>
        <charset val="1"/>
      </rPr>
      <t xml:space="preserve">6</t>
    </r>
    <r>
      <rPr>
        <sz val="10"/>
        <rFont val="WenQuanYi Zen Hei"/>
        <family val="2"/>
      </rPr>
      <t xml:space="preserve">年</t>
    </r>
    <r>
      <rPr>
        <sz val="10"/>
        <rFont val="Meiryo"/>
        <family val="0"/>
        <charset val="1"/>
      </rPr>
      <t xml:space="preserve">4</t>
    </r>
    <r>
      <rPr>
        <sz val="10"/>
        <rFont val="WenQuanYi Zen Hei"/>
        <family val="2"/>
      </rPr>
      <t xml:space="preserve">月</t>
    </r>
    <r>
      <rPr>
        <sz val="10"/>
        <rFont val="Meiryo"/>
        <family val="0"/>
        <charset val="1"/>
      </rPr>
      <t xml:space="preserve">1</t>
    </r>
    <r>
      <rPr>
        <sz val="10"/>
        <rFont val="WenQuanYi Zen Hei"/>
        <family val="2"/>
      </rPr>
      <t xml:space="preserve">日施行）があるが対象は太陽光・風力発電設備で蓄電池は含まれない。</t>
    </r>
  </si>
  <si>
    <t xml:space="preserve">kk-131</t>
  </si>
  <si>
    <t xml:space="preserve">伊勢崎市</t>
  </si>
  <si>
    <t xml:space="preserve">系統用蓄電池の開発許可取扱いページは検索で見つからず。市サイトには一般的な開発許可ページと開発行為等の規制に関する規則のみ確認。</t>
  </si>
  <si>
    <t xml:space="preserve">kk-132</t>
  </si>
  <si>
    <r>
      <rPr>
        <sz val="10"/>
        <rFont val="Meiryo"/>
        <family val="0"/>
        <charset val="1"/>
      </rPr>
      <t xml:space="preserve">WebFetch</t>
    </r>
    <r>
      <rPr>
        <sz val="10"/>
        <rFont val="WenQuanYi Zen Hei"/>
        <family val="2"/>
      </rPr>
      <t xml:space="preserve">で内容確認済み。</t>
    </r>
  </si>
  <si>
    <t xml:space="preserve">kk-133</t>
  </si>
  <si>
    <t xml:space="preserve">熊谷市</t>
  </si>
  <si>
    <r>
      <rPr>
        <sz val="10"/>
        <rFont val="WenQuanYi Zen Hei"/>
        <family val="2"/>
      </rPr>
      <t xml:space="preserve">検索結果に系統用蓄電池ページへの直接リンクは出たが、</t>
    </r>
    <r>
      <rPr>
        <sz val="10"/>
        <rFont val="Meiryo"/>
        <family val="0"/>
        <charset val="1"/>
      </rPr>
      <t xml:space="preserve">WebFetch</t>
    </r>
    <r>
      <rPr>
        <sz val="10"/>
        <rFont val="WenQuanYi Zen Hei"/>
        <family val="2"/>
      </rPr>
      <t xml:space="preserve">で開発許可手数料・審査基準ページおよび条例第</t>
    </r>
    <r>
      <rPr>
        <sz val="10"/>
        <rFont val="Meiryo"/>
        <family val="0"/>
        <charset val="1"/>
      </rPr>
      <t xml:space="preserve">4</t>
    </r>
    <r>
      <rPr>
        <sz val="10"/>
        <rFont val="WenQuanYi Zen Hei"/>
        <family val="2"/>
      </rPr>
      <t xml:space="preserve">条第</t>
    </r>
    <r>
      <rPr>
        <sz val="10"/>
        <rFont val="Meiryo"/>
        <family val="0"/>
        <charset val="1"/>
      </rPr>
      <t xml:space="preserve">1</t>
    </r>
    <r>
      <rPr>
        <sz val="10"/>
        <rFont val="WenQuanYi Zen Hei"/>
        <family val="2"/>
      </rPr>
      <t xml:space="preserve">号運用方針ページ（</t>
    </r>
    <r>
      <rPr>
        <sz val="10"/>
        <rFont val="Meiryo"/>
        <family val="0"/>
        <charset val="1"/>
      </rPr>
      <t xml:space="preserve">2025</t>
    </r>
    <r>
      <rPr>
        <sz val="10"/>
        <rFont val="WenQuanYi Zen Hei"/>
        <family val="2"/>
      </rPr>
      <t xml:space="preserve">年</t>
    </r>
    <r>
      <rPr>
        <sz val="10"/>
        <rFont val="Meiryo"/>
        <family val="0"/>
        <charset val="1"/>
      </rPr>
      <t xml:space="preserve">11</t>
    </r>
    <r>
      <rPr>
        <sz val="10"/>
        <rFont val="WenQuanYi Zen Hei"/>
        <family val="2"/>
      </rPr>
      <t xml:space="preserve">月</t>
    </r>
    <r>
      <rPr>
        <sz val="10"/>
        <rFont val="Meiryo"/>
        <family val="0"/>
        <charset val="1"/>
      </rPr>
      <t xml:space="preserve">5</t>
    </r>
    <r>
      <rPr>
        <sz val="10"/>
        <rFont val="WenQuanYi Zen Hei"/>
        <family val="2"/>
      </rPr>
      <t xml:space="preserve">日改定）を確認したところ、蓄電池特化ページへのリンクは辿れず本文でも第一種特定工作物への言及なし。ページ自体は未特定のため </t>
    </r>
    <r>
      <rPr>
        <sz val="10"/>
        <rFont val="Meiryo"/>
        <family val="0"/>
        <charset val="1"/>
      </rPr>
      <t xml:space="preserve">found=false</t>
    </r>
    <r>
      <rPr>
        <sz val="10"/>
        <rFont val="WenQuanYi Zen Hei"/>
        <family val="2"/>
      </rPr>
      <t xml:space="preserve">。</t>
    </r>
  </si>
  <si>
    <t xml:space="preserve">kk-134</t>
  </si>
  <si>
    <t xml:space="preserve">kk-135</t>
  </si>
  <si>
    <t xml:space="preserve">春日部市</t>
  </si>
  <si>
    <t xml:space="preserve">系統用蓄電池の開発許可取扱いページは検索で見つからず。市サイトには一般的な開発許可制度ページ（開発調整課開発審査担当）と太陽光発電設備・蓄電池設置補助金（住宅・企業向け）ページのみ確認。</t>
  </si>
  <si>
    <t xml:space="preserve">kk-136</t>
  </si>
  <si>
    <t xml:space="preserve">草加市</t>
  </si>
  <si>
    <t xml:space="preserve">kk-137</t>
  </si>
  <si>
    <t xml:space="preserve">平塚市</t>
  </si>
  <si>
    <r>
      <rPr>
        <sz val="10"/>
        <rFont val="WenQuanYi Zen Hei"/>
        <family val="2"/>
      </rPr>
      <t xml:space="preserve">「系統用蓄電池 開発許可」「蓄電池 第一種特定工作物」の</t>
    </r>
    <r>
      <rPr>
        <sz val="10"/>
        <rFont val="Meiryo"/>
        <family val="0"/>
        <charset val="1"/>
      </rPr>
      <t xml:space="preserve">2</t>
    </r>
    <r>
      <rPr>
        <sz val="10"/>
        <rFont val="WenQuanYi Zen Hei"/>
        <family val="2"/>
      </rPr>
      <t xml:space="preserve">検索で平塚市の開発許可取扱いページは検索結果に出現せず。ヒットは平塚市太陽光発電設備導入補助金ページのみ。検索予算の都合で</t>
    </r>
    <r>
      <rPr>
        <sz val="10"/>
        <rFont val="Meiryo"/>
        <family val="0"/>
        <charset val="1"/>
      </rPr>
      <t xml:space="preserve">3</t>
    </r>
    <r>
      <rPr>
        <sz val="10"/>
        <rFont val="WenQuanYi Zen Hei"/>
        <family val="2"/>
      </rPr>
      <t xml:space="preserve">回目の検索は実施できず。</t>
    </r>
  </si>
  <si>
    <t xml:space="preserve">kk-138</t>
  </si>
  <si>
    <t xml:space="preserve">小田原市</t>
  </si>
  <si>
    <r>
      <rPr>
        <sz val="10"/>
        <rFont val="WenQuanYi Zen Hei"/>
        <family val="2"/>
      </rPr>
      <t xml:space="preserve">「系統用蓄電池 開発許可」「蓄電池 第一種特定工作物」の</t>
    </r>
    <r>
      <rPr>
        <sz val="10"/>
        <rFont val="Meiryo"/>
        <family val="0"/>
        <charset val="1"/>
      </rPr>
      <t xml:space="preserve">2</t>
    </r>
    <r>
      <rPr>
        <sz val="10"/>
        <rFont val="WenQuanYi Zen Hei"/>
        <family val="2"/>
      </rPr>
      <t xml:space="preserve">検索で小田原市の開発許可取扱いページは検索結果に出現せず。ヒットは小田原市の再エネ・省エネ補助金ページ、および蓄電池設備に関する火災予防条例改正ページ（消防条例、開発許可制度とは別分野）。検索予算の都合で</t>
    </r>
    <r>
      <rPr>
        <sz val="10"/>
        <rFont val="Meiryo"/>
        <family val="0"/>
        <charset val="1"/>
      </rPr>
      <t xml:space="preserve">3</t>
    </r>
    <r>
      <rPr>
        <sz val="10"/>
        <rFont val="WenQuanYi Zen Hei"/>
        <family val="2"/>
      </rPr>
      <t xml:space="preserve">回目の検索は実施できず。</t>
    </r>
  </si>
  <si>
    <t xml:space="preserve">kk-139</t>
  </si>
  <si>
    <t xml:space="preserve">茅ヶ崎市</t>
  </si>
  <si>
    <r>
      <rPr>
        <sz val="10"/>
        <rFont val="WenQuanYi Zen Hei"/>
        <family val="2"/>
      </rPr>
      <t xml:space="preserve">「系統用蓄電池 開発許可」「蓄電池 第一種特定工作物」の</t>
    </r>
    <r>
      <rPr>
        <sz val="10"/>
        <rFont val="Meiryo"/>
        <family val="0"/>
        <charset val="1"/>
      </rPr>
      <t xml:space="preserve">2</t>
    </r>
    <r>
      <rPr>
        <sz val="10"/>
        <rFont val="WenQuanYi Zen Hei"/>
        <family val="2"/>
      </rPr>
      <t xml:space="preserve">検索で茅ヶ崎市の開発許可取扱いページは検索結果に出現せず。ヒットは茅ヶ崎市の補助制度ページや充電式電池の資源化案内のみ。検索予算の都合で</t>
    </r>
    <r>
      <rPr>
        <sz val="10"/>
        <rFont val="Meiryo"/>
        <family val="0"/>
        <charset val="1"/>
      </rPr>
      <t xml:space="preserve">3</t>
    </r>
    <r>
      <rPr>
        <sz val="10"/>
        <rFont val="WenQuanYi Zen Hei"/>
        <family val="2"/>
      </rPr>
      <t xml:space="preserve">回目の検索は実施できず。</t>
    </r>
  </si>
  <si>
    <t xml:space="preserve">kk-140</t>
  </si>
  <si>
    <t xml:space="preserve">厚木市</t>
  </si>
  <si>
    <r>
      <rPr>
        <sz val="10"/>
        <rFont val="WenQuanYi Zen Hei"/>
        <family val="2"/>
      </rPr>
      <t xml:space="preserve">「系統用蓄電池 開発許可」「蓄電池 第一種特定工作物」の</t>
    </r>
    <r>
      <rPr>
        <sz val="10"/>
        <rFont val="Meiryo"/>
        <family val="0"/>
        <charset val="1"/>
      </rPr>
      <t xml:space="preserve">2</t>
    </r>
    <r>
      <rPr>
        <sz val="10"/>
        <rFont val="WenQuanYi Zen Hei"/>
        <family val="2"/>
      </rPr>
      <t xml:space="preserve">検索で厚木市の開発許可取扱いページは検索結果に出現せず。開発許可制度の概要ページ（</t>
    </r>
    <r>
      <rPr>
        <sz val="10"/>
        <rFont val="Meiryo"/>
        <family val="0"/>
        <charset val="1"/>
      </rPr>
      <t xml:space="preserve">city.atsugi.kanagawa.jp/soshiki/kaihatsushinsaka/1/index.html</t>
    </r>
    <r>
      <rPr>
        <sz val="10"/>
        <rFont val="WenQuanYi Zen Hei"/>
        <family val="2"/>
      </rPr>
      <t xml:space="preserve">）はヒットしたが系統用蓄電池固有の記載は確認できず、事業所用省エネ設備導入補助金ページのみ確認。検索予算の都合で</t>
    </r>
    <r>
      <rPr>
        <sz val="10"/>
        <rFont val="Meiryo"/>
        <family val="0"/>
        <charset val="1"/>
      </rPr>
      <t xml:space="preserve">3</t>
    </r>
    <r>
      <rPr>
        <sz val="10"/>
        <rFont val="WenQuanYi Zen Hei"/>
        <family val="2"/>
      </rPr>
      <t xml:space="preserve">回目の検索は実施できず。</t>
    </r>
  </si>
  <si>
    <t xml:space="preserve">kk-141</t>
  </si>
  <si>
    <t xml:space="preserve">大和市</t>
  </si>
  <si>
    <r>
      <rPr>
        <sz val="10"/>
        <rFont val="WenQuanYi Zen Hei"/>
        <family val="2"/>
      </rPr>
      <t xml:space="preserve">「系統用蓄電池 開発許可」「蓄電池 第一種特定工作物」の</t>
    </r>
    <r>
      <rPr>
        <sz val="10"/>
        <rFont val="Meiryo"/>
        <family val="0"/>
        <charset val="1"/>
      </rPr>
      <t xml:space="preserve">2</t>
    </r>
    <r>
      <rPr>
        <sz val="10"/>
        <rFont val="WenQuanYi Zen Hei"/>
        <family val="2"/>
      </rPr>
      <t xml:space="preserve">検索で大和市の開発許可取扱いページは検索結果に出現せず。ヒットは大和市の住宅用太陽光・蓄電池補助金ページのみ。検索予算の都合で</t>
    </r>
    <r>
      <rPr>
        <sz val="10"/>
        <rFont val="Meiryo"/>
        <family val="0"/>
        <charset val="1"/>
      </rPr>
      <t xml:space="preserve">3</t>
    </r>
    <r>
      <rPr>
        <sz val="10"/>
        <rFont val="WenQuanYi Zen Hei"/>
        <family val="2"/>
      </rPr>
      <t xml:space="preserve">回目の検索は実施できず。</t>
    </r>
  </si>
  <si>
    <t xml:space="preserve">kk-142</t>
  </si>
  <si>
    <t xml:space="preserve">長岡市</t>
  </si>
  <si>
    <r>
      <rPr>
        <sz val="10"/>
        <rFont val="WenQuanYi Zen Hei"/>
        <family val="2"/>
      </rPr>
      <t xml:space="preserve">検索でヒットした長岡市の開発許可制度ページを</t>
    </r>
    <r>
      <rPr>
        <sz val="10"/>
        <rFont val="Meiryo"/>
        <family val="0"/>
        <charset val="1"/>
      </rPr>
      <t xml:space="preserve">WebFetch</t>
    </r>
    <r>
      <rPr>
        <sz val="10"/>
        <rFont val="WenQuanYi Zen Hei"/>
        <family val="2"/>
      </rPr>
      <t xml:space="preserve">で確認したが、系統用蓄電池（第一種特定工作物）に関する記載はなし。一般的な開発許可基準・災害危険区域の説明のみで、蓄電池固有の取扱い公表は確認できず。よって</t>
    </r>
    <r>
      <rPr>
        <sz val="10"/>
        <rFont val="Meiryo"/>
        <family val="0"/>
        <charset val="1"/>
      </rPr>
      <t xml:space="preserve">found=false</t>
    </r>
    <r>
      <rPr>
        <sz val="10"/>
        <rFont val="WenQuanYi Zen Hei"/>
        <family val="2"/>
      </rPr>
      <t xml:space="preserve">とした。</t>
    </r>
  </si>
  <si>
    <t xml:space="preserve">kk-143</t>
  </si>
  <si>
    <t xml:space="preserve">上越市</t>
  </si>
  <si>
    <r>
      <rPr>
        <sz val="10"/>
        <rFont val="WenQuanYi Zen Hei"/>
        <family val="2"/>
      </rPr>
      <t xml:space="preserve">検索でヒットした上越市の開発許可制度ページを</t>
    </r>
    <r>
      <rPr>
        <sz val="10"/>
        <rFont val="Meiryo"/>
        <family val="0"/>
        <charset val="1"/>
      </rPr>
      <t xml:space="preserve">WebFetch</t>
    </r>
    <r>
      <rPr>
        <sz val="10"/>
        <rFont val="WenQuanYi Zen Hei"/>
        <family val="2"/>
      </rPr>
      <t xml:space="preserve">で確認したが、第一種特定工作物の例示は「コンクリートプラント、アスファルトプラント、クラッシャープラント、危険物の貯蔵又は処理に供する工作物」のみで蓄電池への言及なし。系統用蓄電池固有の取扱い公表は確認できず。よって</t>
    </r>
    <r>
      <rPr>
        <sz val="10"/>
        <rFont val="Meiryo"/>
        <family val="0"/>
        <charset val="1"/>
      </rPr>
      <t xml:space="preserve">found=false</t>
    </r>
    <r>
      <rPr>
        <sz val="10"/>
        <rFont val="WenQuanYi Zen Hei"/>
        <family val="2"/>
      </rPr>
      <t xml:space="preserve">とした。</t>
    </r>
  </si>
  <si>
    <t xml:space="preserve">kk-144</t>
  </si>
  <si>
    <t xml:space="preserve">沼津市</t>
  </si>
  <si>
    <r>
      <rPr>
        <sz val="10"/>
        <rFont val="WenQuanYi Zen Hei"/>
        <family val="2"/>
      </rPr>
      <t xml:space="preserve">検索でヒットした沼津市の開発許可制度概要ページを</t>
    </r>
    <r>
      <rPr>
        <sz val="10"/>
        <rFont val="Meiryo"/>
        <family val="0"/>
        <charset val="1"/>
      </rPr>
      <t xml:space="preserve">WebFetch</t>
    </r>
    <r>
      <rPr>
        <sz val="10"/>
        <rFont val="WenQuanYi Zen Hei"/>
        <family val="2"/>
      </rPr>
      <t xml:space="preserve">で確認したが、系統用蓄電池・第一種特定工作物への言及はなし。よって</t>
    </r>
    <r>
      <rPr>
        <sz val="10"/>
        <rFont val="Meiryo"/>
        <family val="0"/>
        <charset val="1"/>
      </rPr>
      <t xml:space="preserve">found=false</t>
    </r>
    <r>
      <rPr>
        <sz val="10"/>
        <rFont val="WenQuanYi Zen Hei"/>
        <family val="2"/>
      </rPr>
      <t xml:space="preserve">とした。</t>
    </r>
  </si>
  <si>
    <t xml:space="preserve">kk-145</t>
  </si>
  <si>
    <t xml:space="preserve">富士市</t>
  </si>
  <si>
    <r>
      <rPr>
        <sz val="10"/>
        <rFont val="WenQuanYi Zen Hei"/>
        <family val="2"/>
      </rPr>
      <t xml:space="preserve">「富士市 系統用蓄電池 開発許可」「富士市 蓄電池 第一種特定工作物」で検索したが、富士市の公表ページはヒットせず（住宅用太陽光・蓄電池設置施工事例や補助金ページのみ）。</t>
    </r>
    <r>
      <rPr>
        <sz val="10"/>
        <rFont val="Meiryo"/>
        <family val="0"/>
        <charset val="1"/>
      </rPr>
      <t xml:space="preserve">WebSearch</t>
    </r>
    <r>
      <rPr>
        <sz val="10"/>
        <rFont val="WenQuanYi Zen Hei"/>
        <family val="2"/>
      </rPr>
      <t xml:space="preserve">予算切れのため</t>
    </r>
    <r>
      <rPr>
        <sz val="10"/>
        <rFont val="Meiryo"/>
        <family val="0"/>
        <charset val="1"/>
      </rPr>
      <t xml:space="preserve">3</t>
    </r>
    <r>
      <rPr>
        <sz val="10"/>
        <rFont val="WenQuanYi Zen Hei"/>
        <family val="2"/>
      </rPr>
      <t xml:space="preserve">回目未実施。</t>
    </r>
  </si>
  <si>
    <t xml:space="preserve">kk-146</t>
  </si>
  <si>
    <t xml:space="preserve">春日井市</t>
  </si>
  <si>
    <r>
      <rPr>
        <sz val="10"/>
        <rFont val="WenQuanYi Zen Hei"/>
        <family val="2"/>
      </rPr>
      <t xml:space="preserve">「系統用蓄電池 開発許可」で検索したが春日井市公式ページはヒットせず。ヒットしたのは事業用太陽光発電設備の設置に関する留意事項ページや家庭用蓄電池補助金のみ。開発許可制度に関する系統用蓄電池の取扱い公表は検索結果に見当たらない。時間・検索予算の制約により</t>
    </r>
    <r>
      <rPr>
        <sz val="10"/>
        <rFont val="Meiryo"/>
        <family val="0"/>
        <charset val="1"/>
      </rPr>
      <t xml:space="preserve">2</t>
    </r>
    <r>
      <rPr>
        <sz val="10"/>
        <rFont val="WenQuanYi Zen Hei"/>
        <family val="2"/>
      </rPr>
      <t xml:space="preserve">回目・</t>
    </r>
    <r>
      <rPr>
        <sz val="10"/>
        <rFont val="Meiryo"/>
        <family val="0"/>
        <charset val="1"/>
      </rPr>
      <t xml:space="preserve">3</t>
    </r>
    <r>
      <rPr>
        <sz val="10"/>
        <rFont val="WenQuanYi Zen Hei"/>
        <family val="2"/>
      </rPr>
      <t xml:space="preserve">回目の検索は未実施。</t>
    </r>
  </si>
  <si>
    <t xml:space="preserve">kk-147</t>
  </si>
  <si>
    <t xml:space="preserve">四日市市</t>
  </si>
  <si>
    <r>
      <rPr>
        <sz val="10"/>
        <rFont val="WenQuanYi Zen Hei"/>
        <family val="2"/>
      </rPr>
      <t xml:space="preserve">「系統用蓄電池 開発許可」で検索したが四日市市公式ページはヒットせず。千葉市・加古川市・浜松市など他自治体の類似公表はヒットしたが、四日市市自身の公表は検索結果に見当たらない。時間・検索予算の制約により</t>
    </r>
    <r>
      <rPr>
        <sz val="10"/>
        <rFont val="Meiryo"/>
        <family val="0"/>
        <charset val="1"/>
      </rPr>
      <t xml:space="preserve">2</t>
    </r>
    <r>
      <rPr>
        <sz val="10"/>
        <rFont val="WenQuanYi Zen Hei"/>
        <family val="2"/>
      </rPr>
      <t xml:space="preserve">回目・</t>
    </r>
    <r>
      <rPr>
        <sz val="10"/>
        <rFont val="Meiryo"/>
        <family val="0"/>
        <charset val="1"/>
      </rPr>
      <t xml:space="preserve">3</t>
    </r>
    <r>
      <rPr>
        <sz val="10"/>
        <rFont val="WenQuanYi Zen Hei"/>
        <family val="2"/>
      </rPr>
      <t xml:space="preserve">回目の検索は未実施。</t>
    </r>
  </si>
  <si>
    <t xml:space="preserve">kk-148</t>
  </si>
  <si>
    <t xml:space="preserve">茨木市</t>
  </si>
  <si>
    <r>
      <rPr>
        <sz val="10"/>
        <rFont val="Meiryo"/>
        <family val="0"/>
        <charset val="1"/>
      </rPr>
      <t xml:space="preserve">WebSearch</t>
    </r>
    <r>
      <rPr>
        <sz val="10"/>
        <rFont val="WenQuanYi Zen Hei"/>
        <family val="2"/>
      </rPr>
      <t xml:space="preserve">で「茨木市 系統用蓄電池 開発許可」を実施。茨木市の開発許可ページ（</t>
    </r>
    <r>
      <rPr>
        <sz val="10"/>
        <rFont val="Meiryo"/>
        <family val="0"/>
        <charset val="1"/>
      </rPr>
      <t xml:space="preserve">https://www.city.ibaraki.osaka.jp/jigyosha_sangyo/kaihatsu_keikaku/kaihatsu_kyoka/index.html</t>
    </r>
    <r>
      <rPr>
        <sz val="10"/>
        <rFont val="WenQuanYi Zen Hei"/>
        <family val="2"/>
      </rPr>
      <t xml:space="preserve">）がヒットし、都市計画法第</t>
    </r>
    <r>
      <rPr>
        <sz val="10"/>
        <rFont val="Meiryo"/>
        <family val="0"/>
        <charset val="1"/>
      </rPr>
      <t xml:space="preserve">29</t>
    </r>
    <r>
      <rPr>
        <sz val="10"/>
        <rFont val="WenQuanYi Zen Hei"/>
        <family val="2"/>
      </rPr>
      <t xml:space="preserve">条に基づく開発許可申請および開発許可要否判定の受付を行っている旨は確認できたが、</t>
    </r>
    <r>
      <rPr>
        <sz val="10"/>
        <rFont val="Meiryo"/>
        <family val="0"/>
        <charset val="1"/>
      </rPr>
      <t xml:space="preserve">WebFetch</t>
    </r>
    <r>
      <rPr>
        <sz val="10"/>
        <rFont val="WenQuanYi Zen Hei"/>
        <family val="2"/>
      </rPr>
      <t xml:space="preserve">で内</t>
    </r>
  </si>
  <si>
    <t xml:space="preserve">kk-149</t>
  </si>
  <si>
    <r>
      <rPr>
        <sz val="10"/>
        <rFont val="WenQuanYi Zen Hei"/>
        <family val="2"/>
      </rPr>
      <t xml:space="preserve">ユーザー提示の</t>
    </r>
    <r>
      <rPr>
        <sz val="10"/>
        <rFont val="Meiryo"/>
        <family val="0"/>
        <charset val="1"/>
      </rPr>
      <t xml:space="preserve">URL</t>
    </r>
    <r>
      <rPr>
        <sz val="10"/>
        <rFont val="WenQuanYi Zen Hei"/>
        <family val="2"/>
      </rPr>
      <t xml:space="preserve">と一致。</t>
    </r>
    <r>
      <rPr>
        <sz val="10"/>
        <rFont val="Meiryo"/>
        <family val="0"/>
        <charset val="1"/>
      </rPr>
      <t xml:space="preserve">announced_date</t>
    </r>
    <r>
      <rPr>
        <sz val="10"/>
        <rFont val="WenQuanYi Zen Hei"/>
        <family val="2"/>
      </rPr>
      <t xml:space="preserve">はページの更新日（</t>
    </r>
    <r>
      <rPr>
        <sz val="10"/>
        <rFont val="Meiryo"/>
        <family val="0"/>
        <charset val="1"/>
      </rPr>
      <t xml:space="preserve">2025-11-19</t>
    </r>
    <r>
      <rPr>
        <sz val="10"/>
        <rFont val="WenQuanYi Zen Hei"/>
        <family val="2"/>
      </rPr>
      <t xml:space="preserve">）。</t>
    </r>
  </si>
  <si>
    <t xml:space="preserve">kk-150</t>
  </si>
  <si>
    <t xml:space="preserve">宝塚市</t>
  </si>
  <si>
    <t xml:space="preserve">検索結果には宝塚市独自の系統用蓄電池ページはなく、兵庫県・三田市・加古川市など近隣自治体のページと宝塚市の太陽光・蓄電池補助金ページのみがヒット。</t>
  </si>
  <si>
    <t xml:space="preserve">kk-151</t>
  </si>
  <si>
    <t xml:space="preserve">佐賀市</t>
  </si>
  <si>
    <r>
      <rPr>
        <sz val="10"/>
        <rFont val="WenQuanYi Zen Hei"/>
        <family val="2"/>
      </rPr>
      <t xml:space="preserve">開発許可制度</t>
    </r>
    <r>
      <rPr>
        <sz val="10"/>
        <rFont val="Meiryo"/>
        <family val="0"/>
        <charset val="1"/>
      </rPr>
      <t xml:space="preserve">Q&amp;A</t>
    </r>
    <r>
      <rPr>
        <sz val="10"/>
        <rFont val="WenQuanYi Zen Hei"/>
        <family val="2"/>
      </rPr>
      <t xml:space="preserve">ページ</t>
    </r>
    <r>
      <rPr>
        <sz val="10"/>
        <rFont val="Meiryo"/>
        <family val="0"/>
        <charset val="1"/>
      </rPr>
      <t xml:space="preserve">(https://www.city.saga.lg.jp/sangyo-machizukuri/toshi-kotsu/3/6/4013.html)</t>
    </r>
    <r>
      <rPr>
        <sz val="10"/>
        <rFont val="WenQuanYi Zen Hei"/>
        <family val="2"/>
      </rPr>
      <t xml:space="preserve">等を確認したが蓄電池に関する記載なし。</t>
    </r>
  </si>
</sst>
</file>

<file path=xl/styles.xml><?xml version="1.0" encoding="utf-8"?>
<styleSheet xmlns="http://schemas.openxmlformats.org/spreadsheetml/2006/main">
  <numFmts count="2">
    <numFmt numFmtId="164" formatCode="General"/>
    <numFmt numFmtId="165" formatCode="General"/>
  </numFmts>
  <fonts count="13">
    <font>
      <sz val="11"/>
      <color theme="1"/>
      <name val="Calibri"/>
      <family val="2"/>
      <charset val="1"/>
    </font>
    <font>
      <sz val="10"/>
      <name val="Arial"/>
      <family val="0"/>
    </font>
    <font>
      <sz val="10"/>
      <name val="Arial"/>
      <family val="0"/>
    </font>
    <font>
      <sz val="10"/>
      <name val="Arial"/>
      <family val="0"/>
    </font>
    <font>
      <b val="true"/>
      <sz val="14"/>
      <name val="WenQuanYi Zen Hei"/>
      <family val="2"/>
    </font>
    <font>
      <sz val="9"/>
      <color rgb="FF666666"/>
      <name val="WenQuanYi Zen Hei"/>
      <family val="2"/>
    </font>
    <font>
      <sz val="9"/>
      <color rgb="FF666666"/>
      <name val="Meiryo"/>
      <family val="0"/>
      <charset val="1"/>
    </font>
    <font>
      <b val="true"/>
      <sz val="10"/>
      <name val="WenQuanYi Zen Hei"/>
      <family val="2"/>
    </font>
    <font>
      <sz val="10"/>
      <name val="WenQuanYi Zen Hei"/>
      <family val="2"/>
    </font>
    <font>
      <sz val="10"/>
      <name val="Meiryo"/>
      <family val="0"/>
      <charset val="1"/>
    </font>
    <font>
      <b val="true"/>
      <sz val="10"/>
      <name val="Meiryo"/>
      <family val="0"/>
      <charset val="1"/>
    </font>
    <font>
      <b val="true"/>
      <sz val="10"/>
      <color rgb="FFFFFFFF"/>
      <name val="Meiryo"/>
      <family val="0"/>
      <charset val="1"/>
    </font>
    <font>
      <b val="true"/>
      <sz val="10"/>
      <color rgb="FFFFFFFF"/>
      <name val="WenQuanYi Zen Hei"/>
      <family val="2"/>
    </font>
  </fonts>
  <fills count="8">
    <fill>
      <patternFill patternType="none"/>
    </fill>
    <fill>
      <patternFill patternType="gray125"/>
    </fill>
    <fill>
      <patternFill patternType="solid">
        <fgColor rgb="FFF2F2F2"/>
        <bgColor rgb="FFE2EFDA"/>
      </patternFill>
    </fill>
    <fill>
      <patternFill patternType="solid">
        <fgColor rgb="FFF8CBAD"/>
        <bgColor rgb="FFFFE699"/>
      </patternFill>
    </fill>
    <fill>
      <patternFill patternType="solid">
        <fgColor rgb="FFFFE699"/>
        <bgColor rgb="FFF8CBAD"/>
      </patternFill>
    </fill>
    <fill>
      <patternFill patternType="solid">
        <fgColor rgb="FFD9E1F2"/>
        <bgColor rgb="FFE2EFDA"/>
      </patternFill>
    </fill>
    <fill>
      <patternFill patternType="solid">
        <fgColor rgb="FFE2EFDA"/>
        <bgColor rgb="FFF2F2F2"/>
      </patternFill>
    </fill>
    <fill>
      <patternFill patternType="solid">
        <fgColor rgb="FF2F5B7C"/>
        <bgColor rgb="FF66666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center" vertical="top" textRotation="0" wrapText="true" indent="0" shrinkToFit="false"/>
      <protection locked="true" hidden="false"/>
    </xf>
    <xf numFmtId="165" fontId="9" fillId="0" borderId="1" xfId="0" applyFont="true" applyBorder="true" applyAlignment="false" applyProtection="false">
      <alignment horizontal="general" vertical="bottom" textRotation="0" wrapText="false" indent="0" shrinkToFit="false"/>
      <protection locked="true" hidden="false"/>
    </xf>
    <xf numFmtId="164" fontId="7" fillId="4" borderId="1" xfId="0" applyFont="true" applyBorder="true" applyAlignment="true" applyProtection="false">
      <alignment horizontal="center" vertical="top" textRotation="0" wrapText="true" indent="0" shrinkToFit="false"/>
      <protection locked="true" hidden="false"/>
    </xf>
    <xf numFmtId="164" fontId="7" fillId="5" borderId="1" xfId="0" applyFont="true" applyBorder="true" applyAlignment="true" applyProtection="false">
      <alignment horizontal="center" vertical="top" textRotation="0" wrapText="true" indent="0" shrinkToFit="false"/>
      <protection locked="true" hidden="false"/>
    </xf>
    <xf numFmtId="164" fontId="7" fillId="6" borderId="1" xfId="0" applyFont="true" applyBorder="true" applyAlignment="true" applyProtection="false">
      <alignment horizontal="center" vertical="top"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11" fillId="7" borderId="1" xfId="0" applyFont="true" applyBorder="true" applyAlignment="true" applyProtection="false">
      <alignment horizontal="center" vertical="top" textRotation="0" wrapText="true" indent="0" shrinkToFit="false"/>
      <protection locked="true" hidden="false"/>
    </xf>
    <xf numFmtId="164" fontId="12" fillId="7" borderId="1" xfId="0" applyFont="true" applyBorder="true" applyAlignment="true" applyProtection="false">
      <alignment horizontal="center" vertical="top" textRotation="0" wrapText="true" indent="0" shrinkToFit="false"/>
      <protection locked="true" hidden="false"/>
    </xf>
    <xf numFmtId="164" fontId="8" fillId="3" borderId="1" xfId="0" applyFont="true" applyBorder="true" applyAlignment="true" applyProtection="false">
      <alignment horizontal="center" vertical="top" textRotation="0" wrapText="true" indent="0" shrinkToFit="false"/>
      <protection locked="true" hidden="false"/>
    </xf>
    <xf numFmtId="164" fontId="8" fillId="4" borderId="1" xfId="0" applyFont="true" applyBorder="true" applyAlignment="true" applyProtection="false">
      <alignment horizontal="center" vertical="top" textRotation="0" wrapText="true" indent="0" shrinkToFit="false"/>
      <protection locked="true" hidden="false"/>
    </xf>
    <xf numFmtId="164" fontId="8" fillId="5" borderId="1" xfId="0" applyFont="true" applyBorder="true" applyAlignment="true" applyProtection="false">
      <alignment horizontal="center" vertical="top" textRotation="0" wrapText="true" indent="0" shrinkToFit="false"/>
      <protection locked="true" hidden="false"/>
    </xf>
    <xf numFmtId="164" fontId="8" fillId="6" borderId="1" xfId="0" applyFont="true" applyBorder="true" applyAlignment="true" applyProtection="false">
      <alignment horizontal="center"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2F5B7C"/>
          <bgColor rgb="FF000000"/>
        </patternFill>
      </fill>
    </dxf>
    <dxf>
      <fill>
        <patternFill patternType="solid">
          <bgColor rgb="FF000000"/>
        </patternFill>
      </fill>
    </dxf>
    <dxf>
      <fill>
        <patternFill patternType="solid">
          <fgColor rgb="FFFFFFFF"/>
          <bgColor rgb="FF000000"/>
        </patternFill>
      </fill>
    </dxf>
    <dxf>
      <fill>
        <patternFill patternType="solid">
          <fgColor rgb="FFD9E1F2"/>
          <bgColor rgb="FF000000"/>
        </patternFill>
      </fill>
    </dxf>
    <dxf>
      <fill>
        <patternFill patternType="solid">
          <fgColor rgb="FFE2EFDA"/>
          <bgColor rgb="FF000000"/>
        </patternFill>
      </fill>
    </dxf>
    <dxf>
      <fill>
        <patternFill patternType="solid">
          <fgColor rgb="FFF8CBAD"/>
          <bgColor rgb="FF000000"/>
        </patternFill>
      </fill>
    </dxf>
    <dxf>
      <fill>
        <patternFill patternType="solid">
          <fgColor rgb="FFFFE699"/>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E699"/>
      <rgbColor rgb="FF99CCFF"/>
      <rgbColor rgb="FFFF99CC"/>
      <rgbColor rgb="FFCC99FF"/>
      <rgbColor rgb="FFF8CBAD"/>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2F5B7C"/>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1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34"/>
    <col collapsed="false" customWidth="true" hidden="false" outlineLevel="0" max="6" min="3" style="0" width="24"/>
  </cols>
  <sheetData>
    <row r="2" customFormat="false" ht="17.35" hidden="false" customHeight="false" outlineLevel="0" collapsed="false">
      <c r="B2" s="1" t="s">
        <v>0</v>
      </c>
    </row>
    <row r="3" customFormat="false" ht="15" hidden="false" customHeight="false" outlineLevel="0" collapsed="false">
      <c r="B3" s="2" t="s">
        <v>1</v>
      </c>
    </row>
    <row r="5" customFormat="false" ht="15" hidden="false" customHeight="false" outlineLevel="0" collapsed="false">
      <c r="B5" s="3" t="s">
        <v>2</v>
      </c>
    </row>
    <row r="6" customFormat="false" ht="42" hidden="false" customHeight="true" outlineLevel="0" collapsed="false">
      <c r="B6" s="4" t="s">
        <v>3</v>
      </c>
      <c r="C6" s="5" t="s">
        <v>4</v>
      </c>
      <c r="D6" s="5"/>
      <c r="E6" s="5"/>
      <c r="F6" s="5"/>
    </row>
    <row r="7" customFormat="false" ht="42" hidden="false" customHeight="true" outlineLevel="0" collapsed="false">
      <c r="B7" s="4" t="s">
        <v>5</v>
      </c>
      <c r="C7" s="5" t="s">
        <v>6</v>
      </c>
      <c r="D7" s="5"/>
      <c r="E7" s="5"/>
      <c r="F7" s="5"/>
    </row>
    <row r="8" customFormat="false" ht="42" hidden="false" customHeight="true" outlineLevel="0" collapsed="false">
      <c r="B8" s="4" t="s">
        <v>7</v>
      </c>
      <c r="C8" s="5" t="s">
        <v>8</v>
      </c>
      <c r="D8" s="5"/>
      <c r="E8" s="5"/>
      <c r="F8" s="5"/>
    </row>
    <row r="9" customFormat="false" ht="42" hidden="false" customHeight="true" outlineLevel="0" collapsed="false">
      <c r="B9" s="4" t="s">
        <v>9</v>
      </c>
      <c r="C9" s="6" t="s">
        <v>10</v>
      </c>
      <c r="D9" s="6"/>
      <c r="E9" s="6"/>
      <c r="F9" s="6"/>
    </row>
    <row r="11" customFormat="false" ht="15" hidden="false" customHeight="false" outlineLevel="0" collapsed="false">
      <c r="B11" s="3" t="s">
        <v>11</v>
      </c>
    </row>
    <row r="12" customFormat="false" ht="15" hidden="false" customHeight="false" outlineLevel="0" collapsed="false">
      <c r="B12" s="7" t="s">
        <v>12</v>
      </c>
      <c r="C12" s="8" t="n">
        <f aca="false">COUNTIF(②リスク一覧!B:B,"高")</f>
        <v>3</v>
      </c>
    </row>
    <row r="13" customFormat="false" ht="15" hidden="false" customHeight="false" outlineLevel="0" collapsed="false">
      <c r="B13" s="9" t="s">
        <v>13</v>
      </c>
      <c r="C13" s="8" t="n">
        <f aca="false">COUNTIF(②リスク一覧!B:B,"中")</f>
        <v>4</v>
      </c>
    </row>
    <row r="14" customFormat="false" ht="15" hidden="false" customHeight="false" outlineLevel="0" collapsed="false">
      <c r="B14" s="10" t="s">
        <v>14</v>
      </c>
      <c r="C14" s="8" t="n">
        <f aca="false">COUNTIF(②リスク一覧!B:B,"低")</f>
        <v>3</v>
      </c>
    </row>
    <row r="15" customFormat="false" ht="15" hidden="false" customHeight="false" outlineLevel="0" collapsed="false">
      <c r="B15" s="11" t="s">
        <v>15</v>
      </c>
      <c r="C15" s="8" t="n">
        <f aca="false">COUNTIF(②リスク一覧!B:B,"情報")</f>
        <v>2</v>
      </c>
    </row>
    <row r="17" customFormat="false" ht="15" hidden="false" customHeight="false" outlineLevel="0" collapsed="false">
      <c r="B17" s="12" t="s">
        <v>16</v>
      </c>
      <c r="C17" s="12" t="n">
        <f aca="false">COUNTA(③台帳収録済み!A:A)-1</f>
        <v>30</v>
      </c>
    </row>
    <row r="18" customFormat="false" ht="15" hidden="false" customHeight="false" outlineLevel="0" collapsed="false">
      <c r="B18" s="12" t="s">
        <v>17</v>
      </c>
      <c r="C18" s="12" t="n">
        <f aca="false">COUNTA(④制定前の動き!A:A)-1</f>
        <v>8</v>
      </c>
    </row>
    <row r="19" customFormat="false" ht="15" hidden="false" customHeight="false" outlineLevel="0" collapsed="false">
      <c r="B19" s="12" t="s">
        <v>18</v>
      </c>
      <c r="C19" s="12" t="n">
        <f aca="false">COUNTA(⑤権者調査状況!A:A)-1</f>
        <v>151</v>
      </c>
    </row>
  </sheetData>
  <mergeCells count="4">
    <mergeCell ref="C6:F6"/>
    <mergeCell ref="C7:F7"/>
    <mergeCell ref="C8:F8"/>
    <mergeCell ref="C9:F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7"/>
    <col collapsed="false" customWidth="true" hidden="false" outlineLevel="0" max="3" min="3" style="0" width="13"/>
    <col collapsed="false" customWidth="true" hidden="false" outlineLevel="0" max="4" min="4" style="0" width="16"/>
    <col collapsed="false" customWidth="true" hidden="false" outlineLevel="0" max="5" min="5" style="0" width="52"/>
    <col collapsed="false" customWidth="true" hidden="false" outlineLevel="0" max="6" min="6" style="0" width="40"/>
    <col collapsed="false" customWidth="true" hidden="false" outlineLevel="0" max="7" min="7" style="0" width="13"/>
    <col collapsed="false" customWidth="true" hidden="false" outlineLevel="0" max="8" min="8" style="0" width="12"/>
    <col collapsed="false" customWidth="true" hidden="false" outlineLevel="0" max="9" min="9" style="0" width="40"/>
    <col collapsed="false" customWidth="true" hidden="false" outlineLevel="0" max="10" min="10" style="0" width="45"/>
    <col collapsed="false" customWidth="true" hidden="false" outlineLevel="0" max="11" min="11" style="0" width="11"/>
  </cols>
  <sheetData>
    <row r="1" customFormat="false" ht="15" hidden="false" customHeight="false" outlineLevel="0" collapsed="false">
      <c r="A1" s="13" t="s">
        <v>19</v>
      </c>
      <c r="B1" s="14" t="s">
        <v>20</v>
      </c>
      <c r="C1" s="14" t="s">
        <v>21</v>
      </c>
      <c r="D1" s="14" t="s">
        <v>22</v>
      </c>
      <c r="E1" s="14" t="s">
        <v>23</v>
      </c>
      <c r="F1" s="14" t="s">
        <v>24</v>
      </c>
      <c r="G1" s="14" t="s">
        <v>25</v>
      </c>
      <c r="H1" s="14" t="s">
        <v>26</v>
      </c>
      <c r="I1" s="14" t="s">
        <v>27</v>
      </c>
      <c r="J1" s="14" t="s">
        <v>28</v>
      </c>
      <c r="K1" s="14" t="s">
        <v>29</v>
      </c>
    </row>
    <row r="2" customFormat="false" ht="87.75" hidden="false" customHeight="true" outlineLevel="0" collapsed="false">
      <c r="A2" s="6" t="n">
        <v>1</v>
      </c>
      <c r="B2" s="15" t="s">
        <v>12</v>
      </c>
      <c r="C2" s="5" t="s">
        <v>30</v>
      </c>
      <c r="D2" s="5" t="s">
        <v>31</v>
      </c>
      <c r="E2" s="5" t="s">
        <v>32</v>
      </c>
      <c r="F2" s="5" t="s">
        <v>33</v>
      </c>
      <c r="G2" s="5" t="s">
        <v>34</v>
      </c>
      <c r="H2" s="5"/>
      <c r="I2" s="5" t="s">
        <v>35</v>
      </c>
      <c r="J2" s="6" t="s">
        <v>36</v>
      </c>
      <c r="K2" s="6" t="s">
        <v>37</v>
      </c>
    </row>
    <row r="3" customFormat="false" ht="87.75" hidden="false" customHeight="true" outlineLevel="0" collapsed="false">
      <c r="A3" s="5" t="n">
        <v>2</v>
      </c>
      <c r="B3" s="15" t="s">
        <v>12</v>
      </c>
      <c r="C3" s="5" t="s">
        <v>38</v>
      </c>
      <c r="D3" s="5" t="s">
        <v>39</v>
      </c>
      <c r="E3" s="5" t="s">
        <v>40</v>
      </c>
      <c r="F3" s="5" t="s">
        <v>41</v>
      </c>
      <c r="G3" s="5" t="s">
        <v>34</v>
      </c>
      <c r="H3" s="6" t="s">
        <v>42</v>
      </c>
      <c r="I3" s="5" t="s">
        <v>43</v>
      </c>
      <c r="J3" s="6" t="s">
        <v>44</v>
      </c>
      <c r="K3" s="6" t="s">
        <v>37</v>
      </c>
    </row>
    <row r="4" customFormat="false" ht="87.75" hidden="false" customHeight="true" outlineLevel="0" collapsed="false">
      <c r="A4" s="5" t="n">
        <v>3</v>
      </c>
      <c r="B4" s="15" t="s">
        <v>12</v>
      </c>
      <c r="C4" s="5" t="s">
        <v>38</v>
      </c>
      <c r="D4" s="5" t="s">
        <v>39</v>
      </c>
      <c r="E4" s="5" t="s">
        <v>45</v>
      </c>
      <c r="F4" s="5" t="s">
        <v>46</v>
      </c>
      <c r="G4" s="5" t="s">
        <v>47</v>
      </c>
      <c r="H4" s="6" t="s">
        <v>48</v>
      </c>
      <c r="I4" s="6" t="s">
        <v>49</v>
      </c>
      <c r="J4" s="6" t="s">
        <v>44</v>
      </c>
      <c r="K4" s="6" t="s">
        <v>37</v>
      </c>
    </row>
    <row r="5" customFormat="false" ht="61.5" hidden="false" customHeight="true" outlineLevel="0" collapsed="false">
      <c r="A5" s="5" t="n">
        <v>4</v>
      </c>
      <c r="B5" s="16" t="s">
        <v>13</v>
      </c>
      <c r="C5" s="5" t="s">
        <v>50</v>
      </c>
      <c r="D5" s="5" t="s">
        <v>51</v>
      </c>
      <c r="E5" s="5" t="s">
        <v>52</v>
      </c>
      <c r="F5" s="5" t="s">
        <v>53</v>
      </c>
      <c r="G5" s="5" t="s">
        <v>54</v>
      </c>
      <c r="H5" s="5"/>
      <c r="I5" s="5" t="s">
        <v>55</v>
      </c>
      <c r="J5" s="6" t="s">
        <v>56</v>
      </c>
      <c r="K5" s="6" t="s">
        <v>37</v>
      </c>
    </row>
    <row r="6" customFormat="false" ht="61.5" hidden="false" customHeight="true" outlineLevel="0" collapsed="false">
      <c r="A6" s="5" t="n">
        <v>5</v>
      </c>
      <c r="B6" s="16" t="s">
        <v>13</v>
      </c>
      <c r="C6" s="5" t="s">
        <v>57</v>
      </c>
      <c r="D6" s="5" t="s">
        <v>58</v>
      </c>
      <c r="E6" s="5" t="s">
        <v>59</v>
      </c>
      <c r="F6" s="5" t="s">
        <v>60</v>
      </c>
      <c r="G6" s="5" t="s">
        <v>47</v>
      </c>
      <c r="H6" s="6" t="s">
        <v>48</v>
      </c>
      <c r="I6" s="5" t="s">
        <v>61</v>
      </c>
      <c r="J6" s="6" t="s">
        <v>62</v>
      </c>
      <c r="K6" s="6" t="s">
        <v>37</v>
      </c>
    </row>
    <row r="7" customFormat="false" ht="61.5" hidden="false" customHeight="true" outlineLevel="0" collapsed="false">
      <c r="A7" s="5" t="n">
        <v>6</v>
      </c>
      <c r="B7" s="16" t="s">
        <v>13</v>
      </c>
      <c r="C7" s="5" t="s">
        <v>63</v>
      </c>
      <c r="D7" s="5" t="s">
        <v>64</v>
      </c>
      <c r="E7" s="5" t="s">
        <v>65</v>
      </c>
      <c r="F7" s="5" t="s">
        <v>66</v>
      </c>
      <c r="G7" s="5" t="s">
        <v>67</v>
      </c>
      <c r="H7" s="5"/>
      <c r="I7" s="5" t="s">
        <v>68</v>
      </c>
      <c r="J7" s="6" t="s">
        <v>69</v>
      </c>
      <c r="K7" s="6" t="s">
        <v>37</v>
      </c>
    </row>
    <row r="8" customFormat="false" ht="61.5" hidden="false" customHeight="true" outlineLevel="0" collapsed="false">
      <c r="A8" s="5" t="n">
        <v>7</v>
      </c>
      <c r="B8" s="16" t="s">
        <v>13</v>
      </c>
      <c r="C8" s="5" t="s">
        <v>63</v>
      </c>
      <c r="D8" s="5" t="s">
        <v>70</v>
      </c>
      <c r="E8" s="5" t="s">
        <v>71</v>
      </c>
      <c r="F8" s="5" t="s">
        <v>72</v>
      </c>
      <c r="G8" s="5" t="s">
        <v>67</v>
      </c>
      <c r="H8" s="5"/>
      <c r="I8" s="5" t="s">
        <v>73</v>
      </c>
      <c r="J8" s="6" t="s">
        <v>74</v>
      </c>
      <c r="K8" s="6" t="s">
        <v>37</v>
      </c>
    </row>
    <row r="9" customFormat="false" ht="61.5" hidden="false" customHeight="true" outlineLevel="0" collapsed="false">
      <c r="A9" s="5" t="n">
        <v>8</v>
      </c>
      <c r="B9" s="17" t="s">
        <v>14</v>
      </c>
      <c r="C9" s="5" t="s">
        <v>63</v>
      </c>
      <c r="D9" s="5" t="s">
        <v>75</v>
      </c>
      <c r="E9" s="5" t="s">
        <v>76</v>
      </c>
      <c r="F9" s="5" t="s">
        <v>77</v>
      </c>
      <c r="G9" s="5" t="s">
        <v>78</v>
      </c>
      <c r="H9" s="5"/>
      <c r="I9" s="5" t="s">
        <v>79</v>
      </c>
      <c r="J9" s="5"/>
      <c r="K9" s="6" t="s">
        <v>37</v>
      </c>
    </row>
    <row r="10" customFormat="false" ht="61.5" hidden="false" customHeight="true" outlineLevel="0" collapsed="false">
      <c r="A10" s="5" t="n">
        <v>9</v>
      </c>
      <c r="B10" s="17" t="s">
        <v>14</v>
      </c>
      <c r="C10" s="5" t="s">
        <v>80</v>
      </c>
      <c r="D10" s="5" t="s">
        <v>81</v>
      </c>
      <c r="E10" s="5" t="s">
        <v>82</v>
      </c>
      <c r="F10" s="5" t="s">
        <v>83</v>
      </c>
      <c r="G10" s="5" t="s">
        <v>67</v>
      </c>
      <c r="H10" s="5"/>
      <c r="I10" s="5" t="s">
        <v>84</v>
      </c>
      <c r="J10" s="5"/>
      <c r="K10" s="6" t="s">
        <v>37</v>
      </c>
    </row>
    <row r="11" customFormat="false" ht="61.5" hidden="false" customHeight="true" outlineLevel="0" collapsed="false">
      <c r="A11" s="5" t="n">
        <v>10</v>
      </c>
      <c r="B11" s="17" t="s">
        <v>14</v>
      </c>
      <c r="C11" s="5" t="s">
        <v>80</v>
      </c>
      <c r="D11" s="5" t="s">
        <v>85</v>
      </c>
      <c r="E11" s="5" t="s">
        <v>86</v>
      </c>
      <c r="F11" s="5" t="s">
        <v>87</v>
      </c>
      <c r="G11" s="5" t="s">
        <v>78</v>
      </c>
      <c r="H11" s="5"/>
      <c r="I11" s="5" t="s">
        <v>88</v>
      </c>
      <c r="J11" s="6" t="s">
        <v>89</v>
      </c>
      <c r="K11" s="6" t="s">
        <v>37</v>
      </c>
    </row>
    <row r="12" customFormat="false" ht="61.5" hidden="false" customHeight="true" outlineLevel="0" collapsed="false">
      <c r="A12" s="5" t="n">
        <v>11</v>
      </c>
      <c r="B12" s="18" t="s">
        <v>15</v>
      </c>
      <c r="C12" s="5" t="s">
        <v>90</v>
      </c>
      <c r="D12" s="5" t="s">
        <v>91</v>
      </c>
      <c r="E12" s="5" t="s">
        <v>92</v>
      </c>
      <c r="F12" s="5" t="s">
        <v>93</v>
      </c>
      <c r="G12" s="5" t="s">
        <v>78</v>
      </c>
      <c r="H12" s="5"/>
      <c r="I12" s="5" t="s">
        <v>94</v>
      </c>
      <c r="J12" s="5"/>
      <c r="K12" s="6" t="s">
        <v>37</v>
      </c>
    </row>
    <row r="13" customFormat="false" ht="61.5" hidden="false" customHeight="true" outlineLevel="0" collapsed="false">
      <c r="A13" s="5" t="n">
        <v>12</v>
      </c>
      <c r="B13" s="18" t="s">
        <v>15</v>
      </c>
      <c r="C13" s="5" t="s">
        <v>90</v>
      </c>
      <c r="D13" s="5" t="s">
        <v>95</v>
      </c>
      <c r="E13" s="5" t="s">
        <v>96</v>
      </c>
      <c r="F13" s="5" t="s">
        <v>97</v>
      </c>
      <c r="G13" s="5" t="s">
        <v>78</v>
      </c>
      <c r="H13" s="5"/>
      <c r="I13" s="5" t="s">
        <v>98</v>
      </c>
      <c r="J13" s="5"/>
      <c r="K13" s="6" t="s">
        <v>37</v>
      </c>
    </row>
  </sheetData>
  <autoFilter ref="A1:K1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4"/>
    <col collapsed="false" customWidth="true" hidden="false" outlineLevel="0" max="2" min="2" style="0" width="9"/>
    <col collapsed="false" customWidth="true" hidden="false" outlineLevel="0" max="4" min="3" style="0" width="10"/>
    <col collapsed="false" customWidth="true" hidden="false" outlineLevel="0" max="5" min="5" style="0" width="12"/>
    <col collapsed="false" customWidth="true" hidden="false" outlineLevel="0" max="6" min="6" style="0" width="44"/>
    <col collapsed="false" customWidth="true" hidden="false" outlineLevel="0" max="7" min="7" style="0" width="30"/>
    <col collapsed="false" customWidth="true" hidden="false" outlineLevel="0" max="8" min="8" style="0" width="24"/>
    <col collapsed="false" customWidth="true" hidden="false" outlineLevel="0" max="9" min="9" style="0" width="44"/>
    <col collapsed="false" customWidth="true" hidden="false" outlineLevel="0" max="12" min="10" style="0" width="11"/>
    <col collapsed="false" customWidth="true" hidden="false" outlineLevel="0" max="13" min="13" style="0" width="50"/>
  </cols>
  <sheetData>
    <row r="1" customFormat="false" ht="15" hidden="false" customHeight="false" outlineLevel="0" collapsed="false">
      <c r="A1" s="13" t="s">
        <v>99</v>
      </c>
      <c r="B1" s="14" t="s">
        <v>100</v>
      </c>
      <c r="C1" s="14" t="s">
        <v>101</v>
      </c>
      <c r="D1" s="14" t="s">
        <v>102</v>
      </c>
      <c r="E1" s="14" t="s">
        <v>103</v>
      </c>
      <c r="F1" s="14" t="s">
        <v>104</v>
      </c>
      <c r="G1" s="14" t="s">
        <v>105</v>
      </c>
      <c r="H1" s="14" t="s">
        <v>106</v>
      </c>
      <c r="I1" s="13" t="s">
        <v>107</v>
      </c>
      <c r="J1" s="14" t="s">
        <v>108</v>
      </c>
      <c r="K1" s="14" t="s">
        <v>109</v>
      </c>
      <c r="L1" s="14" t="s">
        <v>110</v>
      </c>
      <c r="M1" s="13" t="s">
        <v>111</v>
      </c>
    </row>
    <row r="2" customFormat="false" ht="45.75" hidden="false" customHeight="true" outlineLevel="0" collapsed="false">
      <c r="A2" s="6" t="s">
        <v>112</v>
      </c>
      <c r="B2" s="5" t="s">
        <v>113</v>
      </c>
      <c r="C2" s="5" t="s">
        <v>114</v>
      </c>
      <c r="D2" s="5"/>
      <c r="E2" s="5" t="s">
        <v>115</v>
      </c>
      <c r="F2" s="5" t="s">
        <v>116</v>
      </c>
      <c r="G2" s="5" t="s">
        <v>117</v>
      </c>
      <c r="H2" s="5" t="s">
        <v>118</v>
      </c>
      <c r="I2" s="5" t="s">
        <v>119</v>
      </c>
      <c r="J2" s="6" t="s">
        <v>120</v>
      </c>
      <c r="K2" s="6" t="s">
        <v>120</v>
      </c>
      <c r="L2" s="6" t="s">
        <v>121</v>
      </c>
      <c r="M2" s="6" t="s">
        <v>122</v>
      </c>
    </row>
    <row r="3" customFormat="false" ht="45.75" hidden="false" customHeight="true" outlineLevel="0" collapsed="false">
      <c r="A3" s="6" t="s">
        <v>123</v>
      </c>
      <c r="B3" s="5" t="s">
        <v>113</v>
      </c>
      <c r="C3" s="5" t="s">
        <v>114</v>
      </c>
      <c r="D3" s="5"/>
      <c r="E3" s="5" t="s">
        <v>124</v>
      </c>
      <c r="F3" s="5" t="s">
        <v>125</v>
      </c>
      <c r="G3" s="5" t="s">
        <v>126</v>
      </c>
      <c r="H3" s="5" t="s">
        <v>127</v>
      </c>
      <c r="I3" s="5" t="s">
        <v>128</v>
      </c>
      <c r="J3" s="5"/>
      <c r="K3" s="5"/>
      <c r="L3" s="6" t="s">
        <v>121</v>
      </c>
      <c r="M3" s="6" t="s">
        <v>129</v>
      </c>
    </row>
    <row r="4" customFormat="false" ht="45.75" hidden="false" customHeight="true" outlineLevel="0" collapsed="false">
      <c r="A4" s="6" t="s">
        <v>130</v>
      </c>
      <c r="B4" s="5" t="s">
        <v>113</v>
      </c>
      <c r="C4" s="5" t="s">
        <v>114</v>
      </c>
      <c r="D4" s="5"/>
      <c r="E4" s="5" t="s">
        <v>131</v>
      </c>
      <c r="F4" s="5" t="s">
        <v>132</v>
      </c>
      <c r="G4" s="6" t="s">
        <v>133</v>
      </c>
      <c r="H4" s="5" t="s">
        <v>134</v>
      </c>
      <c r="I4" s="5" t="s">
        <v>135</v>
      </c>
      <c r="J4" s="6" t="s">
        <v>136</v>
      </c>
      <c r="K4" s="6" t="s">
        <v>137</v>
      </c>
      <c r="L4" s="6" t="s">
        <v>121</v>
      </c>
      <c r="M4" s="6" t="s">
        <v>138</v>
      </c>
    </row>
    <row r="5" customFormat="false" ht="45.75" hidden="false" customHeight="true" outlineLevel="0" collapsed="false">
      <c r="A5" s="6" t="s">
        <v>139</v>
      </c>
      <c r="B5" s="5" t="s">
        <v>113</v>
      </c>
      <c r="C5" s="5" t="s">
        <v>114</v>
      </c>
      <c r="D5" s="5"/>
      <c r="E5" s="5" t="s">
        <v>140</v>
      </c>
      <c r="F5" s="5" t="s">
        <v>141</v>
      </c>
      <c r="G5" s="5" t="s">
        <v>142</v>
      </c>
      <c r="H5" s="5" t="s">
        <v>143</v>
      </c>
      <c r="I5" s="5" t="s">
        <v>144</v>
      </c>
      <c r="J5" s="5"/>
      <c r="K5" s="5"/>
      <c r="L5" s="6" t="s">
        <v>121</v>
      </c>
      <c r="M5" s="6" t="s">
        <v>145</v>
      </c>
    </row>
    <row r="6" customFormat="false" ht="45.75" hidden="false" customHeight="true" outlineLevel="0" collapsed="false">
      <c r="A6" s="6" t="s">
        <v>146</v>
      </c>
      <c r="B6" s="5" t="s">
        <v>102</v>
      </c>
      <c r="C6" s="5" t="s">
        <v>147</v>
      </c>
      <c r="D6" s="5" t="s">
        <v>148</v>
      </c>
      <c r="E6" s="5" t="s">
        <v>149</v>
      </c>
      <c r="F6" s="5" t="s">
        <v>150</v>
      </c>
      <c r="G6" s="5" t="s">
        <v>151</v>
      </c>
      <c r="H6" s="5" t="s">
        <v>152</v>
      </c>
      <c r="I6" s="5" t="s">
        <v>153</v>
      </c>
      <c r="J6" s="6" t="s">
        <v>154</v>
      </c>
      <c r="K6" s="6" t="s">
        <v>154</v>
      </c>
      <c r="L6" s="6" t="s">
        <v>121</v>
      </c>
      <c r="M6" s="6" t="s">
        <v>155</v>
      </c>
    </row>
    <row r="7" customFormat="false" ht="45.75" hidden="false" customHeight="true" outlineLevel="0" collapsed="false">
      <c r="A7" s="6" t="s">
        <v>156</v>
      </c>
      <c r="B7" s="5" t="s">
        <v>102</v>
      </c>
      <c r="C7" s="5" t="s">
        <v>157</v>
      </c>
      <c r="D7" s="5" t="s">
        <v>158</v>
      </c>
      <c r="E7" s="5" t="s">
        <v>149</v>
      </c>
      <c r="F7" s="5" t="s">
        <v>159</v>
      </c>
      <c r="G7" s="5" t="s">
        <v>160</v>
      </c>
      <c r="H7" s="5" t="s">
        <v>152</v>
      </c>
      <c r="I7" s="5" t="s">
        <v>161</v>
      </c>
      <c r="J7" s="6" t="s">
        <v>162</v>
      </c>
      <c r="K7" s="6" t="s">
        <v>163</v>
      </c>
      <c r="L7" s="6" t="s">
        <v>121</v>
      </c>
      <c r="M7" s="6" t="s">
        <v>164</v>
      </c>
    </row>
    <row r="8" customFormat="false" ht="45.75" hidden="false" customHeight="true" outlineLevel="0" collapsed="false">
      <c r="A8" s="6" t="s">
        <v>165</v>
      </c>
      <c r="B8" s="5" t="s">
        <v>102</v>
      </c>
      <c r="C8" s="5" t="s">
        <v>166</v>
      </c>
      <c r="D8" s="5" t="s">
        <v>167</v>
      </c>
      <c r="E8" s="5" t="s">
        <v>149</v>
      </c>
      <c r="F8" s="5" t="s">
        <v>168</v>
      </c>
      <c r="G8" s="5" t="s">
        <v>169</v>
      </c>
      <c r="H8" s="5" t="s">
        <v>170</v>
      </c>
      <c r="I8" s="5" t="s">
        <v>171</v>
      </c>
      <c r="J8" s="6" t="s">
        <v>172</v>
      </c>
      <c r="K8" s="5"/>
      <c r="L8" s="6" t="s">
        <v>37</v>
      </c>
      <c r="M8" s="6" t="s">
        <v>173</v>
      </c>
    </row>
    <row r="9" customFormat="false" ht="45.75" hidden="false" customHeight="true" outlineLevel="0" collapsed="false">
      <c r="A9" s="6" t="s">
        <v>174</v>
      </c>
      <c r="B9" s="5" t="s">
        <v>101</v>
      </c>
      <c r="C9" s="5" t="s">
        <v>166</v>
      </c>
      <c r="D9" s="5"/>
      <c r="E9" s="5" t="s">
        <v>149</v>
      </c>
      <c r="F9" s="5" t="s">
        <v>175</v>
      </c>
      <c r="G9" s="5" t="s">
        <v>176</v>
      </c>
      <c r="H9" s="5" t="s">
        <v>152</v>
      </c>
      <c r="I9" s="5" t="s">
        <v>177</v>
      </c>
      <c r="J9" s="6" t="s">
        <v>178</v>
      </c>
      <c r="K9" s="5"/>
      <c r="L9" s="6" t="s">
        <v>121</v>
      </c>
      <c r="M9" s="6" t="s">
        <v>179</v>
      </c>
    </row>
    <row r="10" customFormat="false" ht="45.75" hidden="false" customHeight="true" outlineLevel="0" collapsed="false">
      <c r="A10" s="6" t="s">
        <v>180</v>
      </c>
      <c r="B10" s="5" t="s">
        <v>102</v>
      </c>
      <c r="C10" s="5" t="s">
        <v>181</v>
      </c>
      <c r="D10" s="5" t="s">
        <v>182</v>
      </c>
      <c r="E10" s="5" t="s">
        <v>149</v>
      </c>
      <c r="F10" s="5" t="s">
        <v>150</v>
      </c>
      <c r="G10" s="5" t="s">
        <v>183</v>
      </c>
      <c r="H10" s="5" t="s">
        <v>152</v>
      </c>
      <c r="I10" s="5" t="s">
        <v>184</v>
      </c>
      <c r="J10" s="6" t="s">
        <v>185</v>
      </c>
      <c r="K10" s="5"/>
      <c r="L10" s="6" t="s">
        <v>121</v>
      </c>
      <c r="M10" s="6" t="s">
        <v>186</v>
      </c>
    </row>
    <row r="11" customFormat="false" ht="45.75" hidden="false" customHeight="true" outlineLevel="0" collapsed="false">
      <c r="A11" s="6" t="s">
        <v>187</v>
      </c>
      <c r="B11" s="5" t="s">
        <v>102</v>
      </c>
      <c r="C11" s="5" t="s">
        <v>188</v>
      </c>
      <c r="D11" s="5" t="s">
        <v>189</v>
      </c>
      <c r="E11" s="5" t="s">
        <v>149</v>
      </c>
      <c r="F11" s="5" t="s">
        <v>168</v>
      </c>
      <c r="G11" s="5" t="s">
        <v>183</v>
      </c>
      <c r="H11" s="5" t="s">
        <v>152</v>
      </c>
      <c r="I11" s="5" t="s">
        <v>190</v>
      </c>
      <c r="J11" s="5"/>
      <c r="K11" s="5"/>
      <c r="L11" s="6" t="s">
        <v>121</v>
      </c>
      <c r="M11" s="6" t="s">
        <v>191</v>
      </c>
    </row>
    <row r="12" customFormat="false" ht="45.75" hidden="false" customHeight="true" outlineLevel="0" collapsed="false">
      <c r="A12" s="6" t="s">
        <v>192</v>
      </c>
      <c r="B12" s="5" t="s">
        <v>102</v>
      </c>
      <c r="C12" s="5" t="s">
        <v>193</v>
      </c>
      <c r="D12" s="5" t="s">
        <v>194</v>
      </c>
      <c r="E12" s="5" t="s">
        <v>149</v>
      </c>
      <c r="F12" s="5" t="s">
        <v>150</v>
      </c>
      <c r="G12" s="5" t="s">
        <v>183</v>
      </c>
      <c r="H12" s="5" t="s">
        <v>152</v>
      </c>
      <c r="I12" s="5" t="s">
        <v>195</v>
      </c>
      <c r="J12" s="6" t="s">
        <v>137</v>
      </c>
      <c r="K12" s="6" t="s">
        <v>137</v>
      </c>
      <c r="L12" s="6" t="s">
        <v>121</v>
      </c>
      <c r="M12" s="6" t="s">
        <v>196</v>
      </c>
    </row>
    <row r="13" customFormat="false" ht="45.75" hidden="false" customHeight="true" outlineLevel="0" collapsed="false">
      <c r="A13" s="6" t="s">
        <v>197</v>
      </c>
      <c r="B13" s="5" t="s">
        <v>102</v>
      </c>
      <c r="C13" s="5" t="s">
        <v>198</v>
      </c>
      <c r="D13" s="5" t="s">
        <v>199</v>
      </c>
      <c r="E13" s="5" t="s">
        <v>149</v>
      </c>
      <c r="F13" s="5" t="s">
        <v>168</v>
      </c>
      <c r="G13" s="5" t="s">
        <v>183</v>
      </c>
      <c r="H13" s="5" t="s">
        <v>152</v>
      </c>
      <c r="I13" s="5" t="s">
        <v>200</v>
      </c>
      <c r="J13" s="6" t="s">
        <v>201</v>
      </c>
      <c r="K13" s="5"/>
      <c r="L13" s="6" t="s">
        <v>121</v>
      </c>
      <c r="M13" s="6" t="s">
        <v>202</v>
      </c>
    </row>
    <row r="14" customFormat="false" ht="45.75" hidden="false" customHeight="true" outlineLevel="0" collapsed="false">
      <c r="A14" s="6" t="s">
        <v>203</v>
      </c>
      <c r="B14" s="5" t="s">
        <v>102</v>
      </c>
      <c r="C14" s="5" t="s">
        <v>198</v>
      </c>
      <c r="D14" s="5" t="s">
        <v>204</v>
      </c>
      <c r="E14" s="5" t="s">
        <v>149</v>
      </c>
      <c r="F14" s="5" t="s">
        <v>205</v>
      </c>
      <c r="G14" s="5" t="s">
        <v>183</v>
      </c>
      <c r="H14" s="5" t="s">
        <v>152</v>
      </c>
      <c r="I14" s="5" t="s">
        <v>206</v>
      </c>
      <c r="J14" s="5"/>
      <c r="K14" s="5"/>
      <c r="L14" s="6" t="s">
        <v>121</v>
      </c>
      <c r="M14" s="6" t="s">
        <v>207</v>
      </c>
    </row>
    <row r="15" customFormat="false" ht="45.75" hidden="false" customHeight="true" outlineLevel="0" collapsed="false">
      <c r="A15" s="6" t="s">
        <v>208</v>
      </c>
      <c r="B15" s="5" t="s">
        <v>102</v>
      </c>
      <c r="C15" s="5" t="s">
        <v>209</v>
      </c>
      <c r="D15" s="5" t="s">
        <v>210</v>
      </c>
      <c r="E15" s="5" t="s">
        <v>149</v>
      </c>
      <c r="F15" s="5" t="s">
        <v>211</v>
      </c>
      <c r="G15" s="5" t="s">
        <v>183</v>
      </c>
      <c r="H15" s="5" t="s">
        <v>212</v>
      </c>
      <c r="I15" s="5" t="s">
        <v>213</v>
      </c>
      <c r="J15" s="6" t="s">
        <v>214</v>
      </c>
      <c r="K15" s="5"/>
      <c r="L15" s="6" t="s">
        <v>121</v>
      </c>
      <c r="M15" s="6" t="s">
        <v>215</v>
      </c>
    </row>
    <row r="16" customFormat="false" ht="45.75" hidden="false" customHeight="true" outlineLevel="0" collapsed="false">
      <c r="A16" s="6" t="s">
        <v>216</v>
      </c>
      <c r="B16" s="5" t="s">
        <v>102</v>
      </c>
      <c r="C16" s="5" t="s">
        <v>217</v>
      </c>
      <c r="D16" s="5" t="s">
        <v>218</v>
      </c>
      <c r="E16" s="5" t="s">
        <v>149</v>
      </c>
      <c r="F16" s="5" t="s">
        <v>219</v>
      </c>
      <c r="G16" s="5" t="s">
        <v>183</v>
      </c>
      <c r="H16" s="5" t="s">
        <v>220</v>
      </c>
      <c r="I16" s="5" t="s">
        <v>221</v>
      </c>
      <c r="J16" s="5"/>
      <c r="K16" s="5"/>
      <c r="L16" s="6" t="s">
        <v>121</v>
      </c>
      <c r="M16" s="6" t="s">
        <v>222</v>
      </c>
    </row>
    <row r="17" customFormat="false" ht="45.75" hidden="false" customHeight="true" outlineLevel="0" collapsed="false">
      <c r="A17" s="6" t="s">
        <v>223</v>
      </c>
      <c r="B17" s="5" t="s">
        <v>101</v>
      </c>
      <c r="C17" s="5" t="s">
        <v>224</v>
      </c>
      <c r="D17" s="5"/>
      <c r="E17" s="5" t="s">
        <v>149</v>
      </c>
      <c r="F17" s="5" t="s">
        <v>168</v>
      </c>
      <c r="G17" s="5" t="s">
        <v>225</v>
      </c>
      <c r="H17" s="5" t="s">
        <v>226</v>
      </c>
      <c r="I17" s="5" t="s">
        <v>227</v>
      </c>
      <c r="J17" s="6" t="s">
        <v>228</v>
      </c>
      <c r="K17" s="5"/>
      <c r="L17" s="6" t="s">
        <v>121</v>
      </c>
      <c r="M17" s="6" t="s">
        <v>229</v>
      </c>
    </row>
    <row r="18" customFormat="false" ht="45.75" hidden="false" customHeight="true" outlineLevel="0" collapsed="false">
      <c r="A18" s="6" t="s">
        <v>230</v>
      </c>
      <c r="B18" s="5" t="s">
        <v>102</v>
      </c>
      <c r="C18" s="5" t="s">
        <v>231</v>
      </c>
      <c r="D18" s="5" t="s">
        <v>232</v>
      </c>
      <c r="E18" s="5" t="s">
        <v>149</v>
      </c>
      <c r="F18" s="5" t="s">
        <v>168</v>
      </c>
      <c r="G18" s="5" t="s">
        <v>233</v>
      </c>
      <c r="H18" s="5" t="s">
        <v>234</v>
      </c>
      <c r="I18" s="5" t="s">
        <v>235</v>
      </c>
      <c r="J18" s="6" t="s">
        <v>236</v>
      </c>
      <c r="K18" s="5"/>
      <c r="L18" s="6" t="s">
        <v>121</v>
      </c>
      <c r="M18" s="6" t="s">
        <v>237</v>
      </c>
    </row>
    <row r="19" customFormat="false" ht="45.75" hidden="false" customHeight="true" outlineLevel="0" collapsed="false">
      <c r="A19" s="6" t="s">
        <v>238</v>
      </c>
      <c r="B19" s="5" t="s">
        <v>102</v>
      </c>
      <c r="C19" s="5" t="s">
        <v>239</v>
      </c>
      <c r="D19" s="5" t="s">
        <v>240</v>
      </c>
      <c r="E19" s="5" t="s">
        <v>149</v>
      </c>
      <c r="F19" s="5" t="s">
        <v>241</v>
      </c>
      <c r="G19" s="5" t="s">
        <v>242</v>
      </c>
      <c r="H19" s="5" t="s">
        <v>243</v>
      </c>
      <c r="I19" s="5" t="s">
        <v>244</v>
      </c>
      <c r="J19" s="6" t="s">
        <v>137</v>
      </c>
      <c r="K19" s="5"/>
      <c r="L19" s="6" t="s">
        <v>37</v>
      </c>
      <c r="M19" s="6" t="s">
        <v>62</v>
      </c>
    </row>
    <row r="20" customFormat="false" ht="45.75" hidden="false" customHeight="true" outlineLevel="0" collapsed="false">
      <c r="A20" s="6" t="s">
        <v>245</v>
      </c>
      <c r="B20" s="5" t="s">
        <v>102</v>
      </c>
      <c r="C20" s="5" t="s">
        <v>246</v>
      </c>
      <c r="D20" s="5" t="s">
        <v>247</v>
      </c>
      <c r="E20" s="5" t="s">
        <v>248</v>
      </c>
      <c r="F20" s="5" t="s">
        <v>249</v>
      </c>
      <c r="G20" s="5" t="s">
        <v>250</v>
      </c>
      <c r="H20" s="5" t="s">
        <v>251</v>
      </c>
      <c r="I20" s="5" t="s">
        <v>252</v>
      </c>
      <c r="J20" s="6" t="s">
        <v>253</v>
      </c>
      <c r="K20" s="6" t="s">
        <v>254</v>
      </c>
      <c r="L20" s="6" t="s">
        <v>121</v>
      </c>
      <c r="M20" s="6" t="s">
        <v>255</v>
      </c>
    </row>
    <row r="21" customFormat="false" ht="45.75" hidden="false" customHeight="true" outlineLevel="0" collapsed="false">
      <c r="A21" s="6" t="s">
        <v>256</v>
      </c>
      <c r="B21" s="5" t="s">
        <v>102</v>
      </c>
      <c r="C21" s="5" t="s">
        <v>157</v>
      </c>
      <c r="D21" s="5" t="s">
        <v>158</v>
      </c>
      <c r="E21" s="5" t="s">
        <v>248</v>
      </c>
      <c r="F21" s="5" t="s">
        <v>257</v>
      </c>
      <c r="G21" s="5" t="s">
        <v>258</v>
      </c>
      <c r="H21" s="5" t="s">
        <v>259</v>
      </c>
      <c r="I21" s="5" t="s">
        <v>260</v>
      </c>
      <c r="J21" s="6" t="s">
        <v>137</v>
      </c>
      <c r="K21" s="6" t="s">
        <v>137</v>
      </c>
      <c r="L21" s="6" t="s">
        <v>121</v>
      </c>
      <c r="M21" s="6" t="s">
        <v>261</v>
      </c>
    </row>
    <row r="22" customFormat="false" ht="45.75" hidden="false" customHeight="true" outlineLevel="0" collapsed="false">
      <c r="A22" s="6" t="s">
        <v>262</v>
      </c>
      <c r="B22" s="5" t="s">
        <v>102</v>
      </c>
      <c r="C22" s="5" t="s">
        <v>181</v>
      </c>
      <c r="D22" s="5" t="s">
        <v>263</v>
      </c>
      <c r="E22" s="5" t="s">
        <v>149</v>
      </c>
      <c r="F22" s="5" t="s">
        <v>264</v>
      </c>
      <c r="G22" s="5" t="s">
        <v>265</v>
      </c>
      <c r="H22" s="5" t="s">
        <v>266</v>
      </c>
      <c r="I22" s="5" t="s">
        <v>267</v>
      </c>
      <c r="J22" s="6" t="s">
        <v>228</v>
      </c>
      <c r="K22" s="5"/>
      <c r="L22" s="6" t="s">
        <v>121</v>
      </c>
      <c r="M22" s="6" t="s">
        <v>268</v>
      </c>
    </row>
    <row r="23" customFormat="false" ht="45.75" hidden="false" customHeight="true" outlineLevel="0" collapsed="false">
      <c r="A23" s="6" t="s">
        <v>269</v>
      </c>
      <c r="B23" s="5" t="s">
        <v>102</v>
      </c>
      <c r="C23" s="5" t="s">
        <v>188</v>
      </c>
      <c r="D23" s="5" t="s">
        <v>270</v>
      </c>
      <c r="E23" s="5" t="s">
        <v>149</v>
      </c>
      <c r="F23" s="5" t="s">
        <v>168</v>
      </c>
      <c r="G23" s="5" t="s">
        <v>271</v>
      </c>
      <c r="H23" s="5" t="s">
        <v>272</v>
      </c>
      <c r="I23" s="5" t="s">
        <v>273</v>
      </c>
      <c r="J23" s="6" t="s">
        <v>274</v>
      </c>
      <c r="K23" s="5"/>
      <c r="L23" s="6" t="s">
        <v>121</v>
      </c>
      <c r="M23" s="6" t="s">
        <v>275</v>
      </c>
    </row>
    <row r="24" customFormat="false" ht="45.75" hidden="false" customHeight="true" outlineLevel="0" collapsed="false">
      <c r="A24" s="6" t="s">
        <v>276</v>
      </c>
      <c r="B24" s="5" t="s">
        <v>101</v>
      </c>
      <c r="C24" s="5" t="s">
        <v>198</v>
      </c>
      <c r="D24" s="5"/>
      <c r="E24" s="5" t="s">
        <v>149</v>
      </c>
      <c r="F24" s="5" t="s">
        <v>168</v>
      </c>
      <c r="G24" s="5" t="s">
        <v>277</v>
      </c>
      <c r="H24" s="5" t="s">
        <v>272</v>
      </c>
      <c r="I24" s="5" t="s">
        <v>278</v>
      </c>
      <c r="J24" s="6" t="s">
        <v>279</v>
      </c>
      <c r="K24" s="5"/>
      <c r="L24" s="6" t="s">
        <v>121</v>
      </c>
      <c r="M24" s="6" t="s">
        <v>280</v>
      </c>
    </row>
    <row r="25" customFormat="false" ht="45.75" hidden="false" customHeight="true" outlineLevel="0" collapsed="false">
      <c r="A25" s="6" t="s">
        <v>281</v>
      </c>
      <c r="B25" s="5" t="s">
        <v>102</v>
      </c>
      <c r="C25" s="5" t="s">
        <v>198</v>
      </c>
      <c r="D25" s="5" t="s">
        <v>282</v>
      </c>
      <c r="E25" s="5" t="s">
        <v>149</v>
      </c>
      <c r="F25" s="5" t="s">
        <v>283</v>
      </c>
      <c r="G25" s="5" t="s">
        <v>265</v>
      </c>
      <c r="H25" s="5" t="s">
        <v>284</v>
      </c>
      <c r="I25" s="5" t="s">
        <v>285</v>
      </c>
      <c r="J25" s="5"/>
      <c r="K25" s="5"/>
      <c r="L25" s="6" t="s">
        <v>121</v>
      </c>
      <c r="M25" s="6" t="s">
        <v>286</v>
      </c>
    </row>
    <row r="26" customFormat="false" ht="45.75" hidden="false" customHeight="true" outlineLevel="0" collapsed="false">
      <c r="A26" s="6" t="s">
        <v>287</v>
      </c>
      <c r="B26" s="5" t="s">
        <v>102</v>
      </c>
      <c r="C26" s="5" t="s">
        <v>198</v>
      </c>
      <c r="D26" s="5" t="s">
        <v>282</v>
      </c>
      <c r="E26" s="5" t="s">
        <v>140</v>
      </c>
      <c r="F26" s="5" t="s">
        <v>288</v>
      </c>
      <c r="G26" s="5" t="s">
        <v>289</v>
      </c>
      <c r="H26" s="5" t="s">
        <v>290</v>
      </c>
      <c r="I26" s="5" t="s">
        <v>291</v>
      </c>
      <c r="J26" s="6" t="s">
        <v>292</v>
      </c>
      <c r="K26" s="5"/>
      <c r="L26" s="6" t="s">
        <v>121</v>
      </c>
      <c r="M26" s="6" t="s">
        <v>293</v>
      </c>
    </row>
    <row r="27" customFormat="false" ht="45.75" hidden="false" customHeight="true" outlineLevel="0" collapsed="false">
      <c r="A27" s="6" t="s">
        <v>294</v>
      </c>
      <c r="B27" s="5" t="s">
        <v>102</v>
      </c>
      <c r="C27" s="5" t="s">
        <v>181</v>
      </c>
      <c r="D27" s="5" t="s">
        <v>295</v>
      </c>
      <c r="E27" s="5" t="s">
        <v>149</v>
      </c>
      <c r="F27" s="5" t="s">
        <v>150</v>
      </c>
      <c r="G27" s="5" t="s">
        <v>296</v>
      </c>
      <c r="H27" s="5" t="s">
        <v>297</v>
      </c>
      <c r="I27" s="5" t="s">
        <v>298</v>
      </c>
      <c r="J27" s="6" t="s">
        <v>299</v>
      </c>
      <c r="K27" s="5"/>
      <c r="L27" s="6" t="s">
        <v>121</v>
      </c>
      <c r="M27" s="6" t="s">
        <v>300</v>
      </c>
    </row>
    <row r="28" customFormat="false" ht="45.75" hidden="false" customHeight="true" outlineLevel="0" collapsed="false">
      <c r="A28" s="6" t="s">
        <v>301</v>
      </c>
      <c r="B28" s="5" t="s">
        <v>102</v>
      </c>
      <c r="C28" s="5" t="s">
        <v>302</v>
      </c>
      <c r="D28" s="5" t="s">
        <v>303</v>
      </c>
      <c r="E28" s="5" t="s">
        <v>149</v>
      </c>
      <c r="F28" s="5" t="s">
        <v>150</v>
      </c>
      <c r="G28" s="5" t="s">
        <v>304</v>
      </c>
      <c r="H28" s="5" t="s">
        <v>305</v>
      </c>
      <c r="I28" s="5" t="s">
        <v>306</v>
      </c>
      <c r="J28" s="6" t="s">
        <v>307</v>
      </c>
      <c r="K28" s="5"/>
      <c r="L28" s="6" t="s">
        <v>121</v>
      </c>
      <c r="M28" s="6" t="s">
        <v>308</v>
      </c>
    </row>
    <row r="29" customFormat="false" ht="45.75" hidden="false" customHeight="true" outlineLevel="0" collapsed="false">
      <c r="A29" s="6" t="s">
        <v>309</v>
      </c>
      <c r="B29" s="5" t="s">
        <v>102</v>
      </c>
      <c r="C29" s="5" t="s">
        <v>188</v>
      </c>
      <c r="D29" s="5" t="s">
        <v>310</v>
      </c>
      <c r="E29" s="5" t="s">
        <v>149</v>
      </c>
      <c r="F29" s="5" t="s">
        <v>168</v>
      </c>
      <c r="G29" s="5" t="s">
        <v>311</v>
      </c>
      <c r="H29" s="5" t="s">
        <v>312</v>
      </c>
      <c r="I29" s="5" t="s">
        <v>313</v>
      </c>
      <c r="J29" s="6" t="s">
        <v>314</v>
      </c>
      <c r="K29" s="5"/>
      <c r="L29" s="6" t="s">
        <v>121</v>
      </c>
      <c r="M29" s="6" t="s">
        <v>315</v>
      </c>
    </row>
    <row r="30" customFormat="false" ht="45.75" hidden="false" customHeight="true" outlineLevel="0" collapsed="false">
      <c r="A30" s="6" t="s">
        <v>316</v>
      </c>
      <c r="B30" s="5" t="s">
        <v>102</v>
      </c>
      <c r="C30" s="5" t="s">
        <v>147</v>
      </c>
      <c r="D30" s="5" t="s">
        <v>317</v>
      </c>
      <c r="E30" s="5" t="s">
        <v>149</v>
      </c>
      <c r="F30" s="5" t="s">
        <v>318</v>
      </c>
      <c r="G30" s="5" t="s">
        <v>319</v>
      </c>
      <c r="H30" s="5" t="s">
        <v>152</v>
      </c>
      <c r="I30" s="5" t="s">
        <v>320</v>
      </c>
      <c r="J30" s="6" t="s">
        <v>137</v>
      </c>
      <c r="K30" s="5"/>
      <c r="L30" s="6" t="s">
        <v>121</v>
      </c>
      <c r="M30" s="6" t="s">
        <v>321</v>
      </c>
    </row>
    <row r="31" customFormat="false" ht="45.75" hidden="false" customHeight="true" outlineLevel="0" collapsed="false">
      <c r="A31" s="6" t="s">
        <v>322</v>
      </c>
      <c r="B31" s="5" t="s">
        <v>102</v>
      </c>
      <c r="C31" s="5" t="s">
        <v>323</v>
      </c>
      <c r="D31" s="5" t="s">
        <v>324</v>
      </c>
      <c r="E31" s="5" t="s">
        <v>149</v>
      </c>
      <c r="F31" s="5" t="s">
        <v>325</v>
      </c>
      <c r="G31" s="5" t="s">
        <v>326</v>
      </c>
      <c r="H31" s="5" t="s">
        <v>327</v>
      </c>
      <c r="I31" s="5" t="s">
        <v>328</v>
      </c>
      <c r="J31" s="6" t="s">
        <v>329</v>
      </c>
      <c r="K31" s="5"/>
      <c r="L31" s="6" t="s">
        <v>121</v>
      </c>
      <c r="M31" s="6" t="s">
        <v>330</v>
      </c>
    </row>
  </sheetData>
  <autoFilter ref="A1:M3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8"/>
    <col collapsed="false" customWidth="true" hidden="false" outlineLevel="0" max="2" min="2" style="0" width="9"/>
    <col collapsed="false" customWidth="true" hidden="false" outlineLevel="0" max="3" min="3" style="0" width="20"/>
    <col collapsed="false" customWidth="true" hidden="false" outlineLevel="0" max="4" min="4" style="0" width="36"/>
    <col collapsed="false" customWidth="true" hidden="false" outlineLevel="0" max="5" min="5" style="0" width="15"/>
    <col collapsed="false" customWidth="true" hidden="false" outlineLevel="0" max="6" min="6" style="0" width="11"/>
    <col collapsed="false" customWidth="true" hidden="false" outlineLevel="0" max="7" min="7" style="0" width="46"/>
    <col collapsed="false" customWidth="true" hidden="false" outlineLevel="0" max="8" min="8" style="0" width="34"/>
    <col collapsed="false" customWidth="true" hidden="false" outlineLevel="0" max="9" min="9" style="0" width="44"/>
    <col collapsed="false" customWidth="true" hidden="false" outlineLevel="0" max="10" min="10" style="0" width="9"/>
    <col collapsed="false" customWidth="true" hidden="false" outlineLevel="0" max="11" min="11" style="0" width="44"/>
  </cols>
  <sheetData>
    <row r="1" customFormat="false" ht="15" hidden="false" customHeight="false" outlineLevel="0" collapsed="false">
      <c r="A1" s="13" t="s">
        <v>99</v>
      </c>
      <c r="B1" s="14" t="s">
        <v>100</v>
      </c>
      <c r="C1" s="14" t="s">
        <v>331</v>
      </c>
      <c r="D1" s="14" t="s">
        <v>104</v>
      </c>
      <c r="E1" s="14" t="s">
        <v>332</v>
      </c>
      <c r="F1" s="14" t="s">
        <v>333</v>
      </c>
      <c r="G1" s="14" t="s">
        <v>334</v>
      </c>
      <c r="H1" s="14" t="s">
        <v>335</v>
      </c>
      <c r="I1" s="14" t="s">
        <v>336</v>
      </c>
      <c r="J1" s="14" t="s">
        <v>337</v>
      </c>
      <c r="K1" s="13" t="s">
        <v>111</v>
      </c>
    </row>
    <row r="2" customFormat="false" ht="61.5" hidden="false" customHeight="true" outlineLevel="0" collapsed="false">
      <c r="A2" s="6" t="s">
        <v>338</v>
      </c>
      <c r="B2" s="5" t="s">
        <v>113</v>
      </c>
      <c r="C2" s="5" t="s">
        <v>51</v>
      </c>
      <c r="D2" s="5" t="s">
        <v>339</v>
      </c>
      <c r="E2" s="5" t="s">
        <v>340</v>
      </c>
      <c r="F2" s="6" t="s">
        <v>341</v>
      </c>
      <c r="G2" s="5" t="s">
        <v>342</v>
      </c>
      <c r="H2" s="5" t="s">
        <v>343</v>
      </c>
      <c r="I2" s="5" t="s">
        <v>344</v>
      </c>
      <c r="J2" s="5" t="s">
        <v>345</v>
      </c>
      <c r="K2" s="5"/>
    </row>
    <row r="3" customFormat="false" ht="61.5" hidden="false" customHeight="true" outlineLevel="0" collapsed="false">
      <c r="A3" s="6" t="s">
        <v>346</v>
      </c>
      <c r="B3" s="5" t="s">
        <v>113</v>
      </c>
      <c r="C3" s="6" t="s">
        <v>347</v>
      </c>
      <c r="D3" s="5" t="s">
        <v>348</v>
      </c>
      <c r="E3" s="5" t="s">
        <v>340</v>
      </c>
      <c r="F3" s="5"/>
      <c r="G3" s="5" t="s">
        <v>349</v>
      </c>
      <c r="H3" s="5" t="s">
        <v>350</v>
      </c>
      <c r="I3" s="5" t="s">
        <v>351</v>
      </c>
      <c r="J3" s="5" t="s">
        <v>345</v>
      </c>
      <c r="K3" s="5"/>
    </row>
    <row r="4" customFormat="false" ht="61.5" hidden="false" customHeight="true" outlineLevel="0" collapsed="false">
      <c r="A4" s="6" t="s">
        <v>352</v>
      </c>
      <c r="B4" s="5" t="s">
        <v>102</v>
      </c>
      <c r="C4" s="5" t="s">
        <v>353</v>
      </c>
      <c r="D4" s="5" t="s">
        <v>354</v>
      </c>
      <c r="E4" s="5" t="s">
        <v>355</v>
      </c>
      <c r="F4" s="5"/>
      <c r="G4" s="5" t="s">
        <v>356</v>
      </c>
      <c r="H4" s="5" t="s">
        <v>357</v>
      </c>
      <c r="I4" s="5" t="s">
        <v>358</v>
      </c>
      <c r="J4" s="5" t="s">
        <v>359</v>
      </c>
      <c r="K4" s="6" t="s">
        <v>69</v>
      </c>
    </row>
    <row r="5" customFormat="false" ht="61.5" hidden="false" customHeight="true" outlineLevel="0" collapsed="false">
      <c r="A5" s="6" t="s">
        <v>360</v>
      </c>
      <c r="B5" s="5" t="s">
        <v>101</v>
      </c>
      <c r="C5" s="5" t="s">
        <v>75</v>
      </c>
      <c r="D5" s="5" t="s">
        <v>361</v>
      </c>
      <c r="E5" s="5" t="s">
        <v>355</v>
      </c>
      <c r="F5" s="5"/>
      <c r="G5" s="5" t="s">
        <v>362</v>
      </c>
      <c r="H5" s="5" t="s">
        <v>363</v>
      </c>
      <c r="I5" s="5" t="s">
        <v>364</v>
      </c>
      <c r="J5" s="5" t="s">
        <v>345</v>
      </c>
      <c r="K5" s="5"/>
    </row>
    <row r="6" customFormat="false" ht="61.5" hidden="false" customHeight="true" outlineLevel="0" collapsed="false">
      <c r="A6" s="6" t="s">
        <v>365</v>
      </c>
      <c r="B6" s="5" t="s">
        <v>102</v>
      </c>
      <c r="C6" s="5" t="s">
        <v>366</v>
      </c>
      <c r="D6" s="5" t="s">
        <v>367</v>
      </c>
      <c r="E6" s="5" t="s">
        <v>355</v>
      </c>
      <c r="F6" s="5"/>
      <c r="G6" s="5" t="s">
        <v>368</v>
      </c>
      <c r="H6" s="5" t="s">
        <v>72</v>
      </c>
      <c r="I6" s="5" t="s">
        <v>369</v>
      </c>
      <c r="J6" s="5" t="s">
        <v>345</v>
      </c>
      <c r="K6" s="5"/>
    </row>
    <row r="7" customFormat="false" ht="61.5" hidden="false" customHeight="true" outlineLevel="0" collapsed="false">
      <c r="A7" s="6" t="s">
        <v>370</v>
      </c>
      <c r="B7" s="5" t="s">
        <v>102</v>
      </c>
      <c r="C7" s="5" t="s">
        <v>371</v>
      </c>
      <c r="D7" s="5" t="s">
        <v>372</v>
      </c>
      <c r="E7" s="5" t="s">
        <v>373</v>
      </c>
      <c r="F7" s="5"/>
      <c r="G7" s="5" t="s">
        <v>374</v>
      </c>
      <c r="H7" s="5" t="s">
        <v>375</v>
      </c>
      <c r="I7" s="5" t="s">
        <v>376</v>
      </c>
      <c r="J7" s="5" t="s">
        <v>345</v>
      </c>
      <c r="K7" s="5"/>
    </row>
    <row r="8" customFormat="false" ht="61.5" hidden="false" customHeight="true" outlineLevel="0" collapsed="false">
      <c r="A8" s="6" t="s">
        <v>377</v>
      </c>
      <c r="B8" s="5" t="s">
        <v>102</v>
      </c>
      <c r="C8" s="5" t="s">
        <v>378</v>
      </c>
      <c r="D8" s="5" t="s">
        <v>379</v>
      </c>
      <c r="E8" s="5" t="s">
        <v>373</v>
      </c>
      <c r="F8" s="5"/>
      <c r="G8" s="5" t="s">
        <v>380</v>
      </c>
      <c r="H8" s="5" t="s">
        <v>381</v>
      </c>
      <c r="I8" s="5" t="s">
        <v>382</v>
      </c>
      <c r="J8" s="5" t="s">
        <v>345</v>
      </c>
      <c r="K8" s="5"/>
    </row>
    <row r="9" customFormat="false" ht="61.5" hidden="false" customHeight="true" outlineLevel="0" collapsed="false">
      <c r="A9" s="6" t="s">
        <v>383</v>
      </c>
      <c r="B9" s="5" t="s">
        <v>102</v>
      </c>
      <c r="C9" s="5" t="s">
        <v>384</v>
      </c>
      <c r="D9" s="5" t="s">
        <v>385</v>
      </c>
      <c r="E9" s="5" t="s">
        <v>386</v>
      </c>
      <c r="F9" s="5"/>
      <c r="G9" s="5" t="s">
        <v>387</v>
      </c>
      <c r="H9" s="5" t="s">
        <v>388</v>
      </c>
      <c r="I9" s="5" t="s">
        <v>389</v>
      </c>
      <c r="J9" s="5" t="s">
        <v>359</v>
      </c>
      <c r="K9" s="6" t="s">
        <v>390</v>
      </c>
    </row>
  </sheetData>
  <autoFilter ref="A1:K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8"/>
    <col collapsed="false" customWidth="true" hidden="false" outlineLevel="0" max="2" min="2" style="0" width="10"/>
    <col collapsed="false" customWidth="true" hidden="false" outlineLevel="0" max="3" min="3" style="0" width="14"/>
    <col collapsed="false" customWidth="true" hidden="false" outlineLevel="0" max="4" min="4" style="0" width="13"/>
    <col collapsed="false" customWidth="true" hidden="false" outlineLevel="0" max="5" min="5" style="0" width="7"/>
    <col collapsed="false" customWidth="true" hidden="false" outlineLevel="0" max="6" min="6" style="0" width="14"/>
    <col collapsed="false" customWidth="true" hidden="false" outlineLevel="0" max="7" min="7" style="0" width="12"/>
    <col collapsed="false" customWidth="true" hidden="false" outlineLevel="0" max="8" min="8" style="0" width="44"/>
    <col collapsed="false" customWidth="true" hidden="false" outlineLevel="0" max="9" min="9" style="0" width="70"/>
  </cols>
  <sheetData>
    <row r="1" customFormat="false" ht="15" hidden="false" customHeight="false" outlineLevel="0" collapsed="false">
      <c r="A1" s="13" t="s">
        <v>99</v>
      </c>
      <c r="B1" s="14" t="s">
        <v>101</v>
      </c>
      <c r="C1" s="14" t="s">
        <v>391</v>
      </c>
      <c r="D1" s="14" t="s">
        <v>21</v>
      </c>
      <c r="E1" s="14" t="s">
        <v>392</v>
      </c>
      <c r="F1" s="14" t="s">
        <v>393</v>
      </c>
      <c r="G1" s="14" t="s">
        <v>394</v>
      </c>
      <c r="H1" s="14" t="s">
        <v>395</v>
      </c>
      <c r="I1" s="14" t="s">
        <v>396</v>
      </c>
    </row>
    <row r="2" customFormat="false" ht="52.2" hidden="false" customHeight="false" outlineLevel="0" collapsed="false">
      <c r="A2" s="6" t="s">
        <v>397</v>
      </c>
      <c r="B2" s="5" t="s">
        <v>398</v>
      </c>
      <c r="C2" s="5" t="s">
        <v>398</v>
      </c>
      <c r="D2" s="5" t="s">
        <v>101</v>
      </c>
      <c r="E2" s="5" t="n">
        <v>0</v>
      </c>
      <c r="F2" s="5" t="s">
        <v>399</v>
      </c>
      <c r="G2" s="6" t="s">
        <v>37</v>
      </c>
      <c r="H2" s="5"/>
      <c r="I2" s="5" t="s">
        <v>400</v>
      </c>
    </row>
    <row r="3" customFormat="false" ht="39.55" hidden="false" customHeight="false" outlineLevel="0" collapsed="false">
      <c r="A3" s="6" t="s">
        <v>401</v>
      </c>
      <c r="B3" s="5" t="s">
        <v>75</v>
      </c>
      <c r="C3" s="5" t="s">
        <v>75</v>
      </c>
      <c r="D3" s="5" t="s">
        <v>101</v>
      </c>
      <c r="E3" s="5" t="n">
        <v>1</v>
      </c>
      <c r="F3" s="5" t="s">
        <v>399</v>
      </c>
      <c r="G3" s="6" t="s">
        <v>121</v>
      </c>
      <c r="H3" s="5"/>
      <c r="I3" s="6" t="s">
        <v>402</v>
      </c>
    </row>
    <row r="4" customFormat="false" ht="15" hidden="false" customHeight="false" outlineLevel="0" collapsed="false">
      <c r="A4" s="6" t="s">
        <v>403</v>
      </c>
      <c r="B4" s="5" t="s">
        <v>404</v>
      </c>
      <c r="C4" s="5" t="s">
        <v>404</v>
      </c>
      <c r="D4" s="5" t="s">
        <v>101</v>
      </c>
      <c r="E4" s="5" t="n">
        <v>2</v>
      </c>
      <c r="F4" s="5" t="s">
        <v>399</v>
      </c>
      <c r="G4" s="6" t="s">
        <v>121</v>
      </c>
      <c r="H4" s="5"/>
      <c r="I4" s="6" t="s">
        <v>405</v>
      </c>
    </row>
    <row r="5" customFormat="false" ht="26.85" hidden="false" customHeight="false" outlineLevel="0" collapsed="false">
      <c r="A5" s="6" t="s">
        <v>406</v>
      </c>
      <c r="B5" s="5" t="s">
        <v>407</v>
      </c>
      <c r="C5" s="5" t="s">
        <v>407</v>
      </c>
      <c r="D5" s="5" t="s">
        <v>101</v>
      </c>
      <c r="E5" s="5" t="n">
        <v>3</v>
      </c>
      <c r="F5" s="5" t="s">
        <v>399</v>
      </c>
      <c r="G5" s="6" t="s">
        <v>121</v>
      </c>
      <c r="H5" s="5"/>
      <c r="I5" s="6" t="s">
        <v>408</v>
      </c>
    </row>
    <row r="6" customFormat="false" ht="26.85" hidden="false" customHeight="false" outlineLevel="0" collapsed="false">
      <c r="A6" s="6" t="s">
        <v>409</v>
      </c>
      <c r="B6" s="5" t="s">
        <v>302</v>
      </c>
      <c r="C6" s="5" t="s">
        <v>302</v>
      </c>
      <c r="D6" s="5" t="s">
        <v>101</v>
      </c>
      <c r="E6" s="5" t="n">
        <v>4</v>
      </c>
      <c r="F6" s="5" t="s">
        <v>399</v>
      </c>
      <c r="G6" s="6" t="s">
        <v>121</v>
      </c>
      <c r="H6" s="5"/>
      <c r="I6" s="6" t="s">
        <v>410</v>
      </c>
    </row>
    <row r="7" customFormat="false" ht="26.85" hidden="false" customHeight="false" outlineLevel="0" collapsed="false">
      <c r="A7" s="6" t="s">
        <v>411</v>
      </c>
      <c r="B7" s="5" t="s">
        <v>323</v>
      </c>
      <c r="C7" s="5" t="s">
        <v>323</v>
      </c>
      <c r="D7" s="5" t="s">
        <v>101</v>
      </c>
      <c r="E7" s="5" t="n">
        <v>0</v>
      </c>
      <c r="F7" s="5" t="s">
        <v>399</v>
      </c>
      <c r="G7" s="6" t="s">
        <v>37</v>
      </c>
      <c r="H7" s="5"/>
      <c r="I7" s="6" t="s">
        <v>412</v>
      </c>
    </row>
    <row r="8" customFormat="false" ht="52.2" hidden="false" customHeight="false" outlineLevel="0" collapsed="false">
      <c r="A8" s="6" t="s">
        <v>413</v>
      </c>
      <c r="B8" s="5" t="s">
        <v>246</v>
      </c>
      <c r="C8" s="5" t="s">
        <v>246</v>
      </c>
      <c r="D8" s="5" t="s">
        <v>101</v>
      </c>
      <c r="E8" s="5" t="n">
        <v>1</v>
      </c>
      <c r="F8" s="5" t="s">
        <v>399</v>
      </c>
      <c r="G8" s="6" t="s">
        <v>121</v>
      </c>
      <c r="H8" s="5"/>
      <c r="I8" s="6" t="s">
        <v>414</v>
      </c>
    </row>
    <row r="9" customFormat="false" ht="39.55" hidden="false" customHeight="false" outlineLevel="0" collapsed="false">
      <c r="A9" s="6" t="s">
        <v>415</v>
      </c>
      <c r="B9" s="5" t="s">
        <v>416</v>
      </c>
      <c r="C9" s="5" t="s">
        <v>416</v>
      </c>
      <c r="D9" s="5" t="s">
        <v>101</v>
      </c>
      <c r="E9" s="5" t="n">
        <v>2</v>
      </c>
      <c r="F9" s="5" t="s">
        <v>399</v>
      </c>
      <c r="G9" s="6" t="s">
        <v>121</v>
      </c>
      <c r="H9" s="5"/>
      <c r="I9" s="5" t="s">
        <v>417</v>
      </c>
    </row>
    <row r="10" customFormat="false" ht="26.85" hidden="false" customHeight="false" outlineLevel="0" collapsed="false">
      <c r="A10" s="6" t="s">
        <v>418</v>
      </c>
      <c r="B10" s="5" t="s">
        <v>419</v>
      </c>
      <c r="C10" s="5" t="s">
        <v>419</v>
      </c>
      <c r="D10" s="5" t="s">
        <v>101</v>
      </c>
      <c r="E10" s="5" t="n">
        <v>3</v>
      </c>
      <c r="F10" s="5" t="s">
        <v>399</v>
      </c>
      <c r="G10" s="6" t="s">
        <v>121</v>
      </c>
      <c r="H10" s="5"/>
      <c r="I10" s="5" t="s">
        <v>420</v>
      </c>
    </row>
    <row r="11" customFormat="false" ht="26.85" hidden="false" customHeight="false" outlineLevel="0" collapsed="false">
      <c r="A11" s="6" t="s">
        <v>421</v>
      </c>
      <c r="B11" s="5" t="s">
        <v>181</v>
      </c>
      <c r="C11" s="5" t="s">
        <v>181</v>
      </c>
      <c r="D11" s="5" t="s">
        <v>101</v>
      </c>
      <c r="E11" s="5" t="n">
        <v>4</v>
      </c>
      <c r="F11" s="5" t="s">
        <v>399</v>
      </c>
      <c r="G11" s="6" t="s">
        <v>121</v>
      </c>
      <c r="H11" s="5"/>
      <c r="I11" s="5" t="s">
        <v>422</v>
      </c>
    </row>
    <row r="12" customFormat="false" ht="26.85" hidden="false" customHeight="false" outlineLevel="0" collapsed="false">
      <c r="A12" s="6" t="s">
        <v>423</v>
      </c>
      <c r="B12" s="5" t="s">
        <v>188</v>
      </c>
      <c r="C12" s="5" t="s">
        <v>188</v>
      </c>
      <c r="D12" s="5" t="s">
        <v>101</v>
      </c>
      <c r="E12" s="5" t="n">
        <v>0</v>
      </c>
      <c r="F12" s="5" t="s">
        <v>399</v>
      </c>
      <c r="G12" s="6" t="s">
        <v>37</v>
      </c>
      <c r="H12" s="5"/>
      <c r="I12" s="5" t="s">
        <v>424</v>
      </c>
    </row>
    <row r="13" customFormat="false" ht="39.55" hidden="false" customHeight="false" outlineLevel="0" collapsed="false">
      <c r="A13" s="6" t="s">
        <v>425</v>
      </c>
      <c r="B13" s="5" t="s">
        <v>147</v>
      </c>
      <c r="C13" s="5" t="s">
        <v>147</v>
      </c>
      <c r="D13" s="5" t="s">
        <v>101</v>
      </c>
      <c r="E13" s="5" t="n">
        <v>1</v>
      </c>
      <c r="F13" s="5" t="s">
        <v>399</v>
      </c>
      <c r="G13" s="6" t="s">
        <v>121</v>
      </c>
      <c r="H13" s="5"/>
      <c r="I13" s="5" t="s">
        <v>426</v>
      </c>
    </row>
    <row r="14" customFormat="false" ht="52.2" hidden="false" customHeight="false" outlineLevel="0" collapsed="false">
      <c r="A14" s="6" t="s">
        <v>427</v>
      </c>
      <c r="B14" s="5" t="s">
        <v>428</v>
      </c>
      <c r="C14" s="5" t="s">
        <v>428</v>
      </c>
      <c r="D14" s="5" t="s">
        <v>101</v>
      </c>
      <c r="E14" s="5" t="n">
        <v>2</v>
      </c>
      <c r="F14" s="5" t="s">
        <v>399</v>
      </c>
      <c r="G14" s="6" t="s">
        <v>121</v>
      </c>
      <c r="H14" s="5"/>
      <c r="I14" s="5" t="s">
        <v>429</v>
      </c>
    </row>
    <row r="15" customFormat="false" ht="39.55" hidden="false" customHeight="false" outlineLevel="0" collapsed="false">
      <c r="A15" s="6" t="s">
        <v>430</v>
      </c>
      <c r="B15" s="5" t="s">
        <v>431</v>
      </c>
      <c r="C15" s="5" t="s">
        <v>431</v>
      </c>
      <c r="D15" s="5" t="s">
        <v>101</v>
      </c>
      <c r="E15" s="5" t="n">
        <v>3</v>
      </c>
      <c r="F15" s="5" t="s">
        <v>399</v>
      </c>
      <c r="G15" s="6" t="s">
        <v>121</v>
      </c>
      <c r="H15" s="5"/>
      <c r="I15" s="5" t="s">
        <v>432</v>
      </c>
    </row>
    <row r="16" customFormat="false" ht="39.55" hidden="false" customHeight="false" outlineLevel="0" collapsed="false">
      <c r="A16" s="6" t="s">
        <v>433</v>
      </c>
      <c r="B16" s="5" t="s">
        <v>434</v>
      </c>
      <c r="C16" s="5" t="s">
        <v>434</v>
      </c>
      <c r="D16" s="5" t="s">
        <v>101</v>
      </c>
      <c r="E16" s="5" t="n">
        <v>4</v>
      </c>
      <c r="F16" s="5" t="s">
        <v>399</v>
      </c>
      <c r="G16" s="6" t="s">
        <v>121</v>
      </c>
      <c r="H16" s="5"/>
      <c r="I16" s="5" t="s">
        <v>435</v>
      </c>
    </row>
    <row r="17" customFormat="false" ht="26.85" hidden="false" customHeight="false" outlineLevel="0" collapsed="false">
      <c r="A17" s="6" t="s">
        <v>436</v>
      </c>
      <c r="B17" s="5" t="s">
        <v>437</v>
      </c>
      <c r="C17" s="5" t="s">
        <v>437</v>
      </c>
      <c r="D17" s="5" t="s">
        <v>101</v>
      </c>
      <c r="E17" s="5" t="n">
        <v>0</v>
      </c>
      <c r="F17" s="5" t="s">
        <v>399</v>
      </c>
      <c r="G17" s="6" t="s">
        <v>37</v>
      </c>
      <c r="H17" s="5"/>
      <c r="I17" s="5" t="s">
        <v>438</v>
      </c>
    </row>
    <row r="18" customFormat="false" ht="39.55" hidden="false" customHeight="false" outlineLevel="0" collapsed="false">
      <c r="A18" s="6" t="s">
        <v>439</v>
      </c>
      <c r="B18" s="5" t="s">
        <v>440</v>
      </c>
      <c r="C18" s="5" t="s">
        <v>440</v>
      </c>
      <c r="D18" s="5" t="s">
        <v>101</v>
      </c>
      <c r="E18" s="5" t="n">
        <v>1</v>
      </c>
      <c r="F18" s="5" t="s">
        <v>399</v>
      </c>
      <c r="G18" s="6" t="s">
        <v>121</v>
      </c>
      <c r="H18" s="5"/>
      <c r="I18" s="5" t="s">
        <v>441</v>
      </c>
    </row>
    <row r="19" customFormat="false" ht="26.85" hidden="false" customHeight="false" outlineLevel="0" collapsed="false">
      <c r="A19" s="6" t="s">
        <v>442</v>
      </c>
      <c r="B19" s="5" t="s">
        <v>443</v>
      </c>
      <c r="C19" s="5" t="s">
        <v>443</v>
      </c>
      <c r="D19" s="5" t="s">
        <v>101</v>
      </c>
      <c r="E19" s="5" t="n">
        <v>2</v>
      </c>
      <c r="F19" s="5" t="s">
        <v>399</v>
      </c>
      <c r="G19" s="6" t="s">
        <v>121</v>
      </c>
      <c r="H19" s="5"/>
      <c r="I19" s="5" t="s">
        <v>444</v>
      </c>
    </row>
    <row r="20" customFormat="false" ht="39.55" hidden="false" customHeight="false" outlineLevel="0" collapsed="false">
      <c r="A20" s="6" t="s">
        <v>445</v>
      </c>
      <c r="B20" s="5" t="s">
        <v>446</v>
      </c>
      <c r="C20" s="5" t="s">
        <v>446</v>
      </c>
      <c r="D20" s="5" t="s">
        <v>101</v>
      </c>
      <c r="E20" s="5" t="n">
        <v>3</v>
      </c>
      <c r="F20" s="5" t="s">
        <v>399</v>
      </c>
      <c r="G20" s="6" t="s">
        <v>121</v>
      </c>
      <c r="H20" s="5"/>
      <c r="I20" s="5" t="s">
        <v>447</v>
      </c>
    </row>
    <row r="21" customFormat="false" ht="39.55" hidden="false" customHeight="false" outlineLevel="0" collapsed="false">
      <c r="A21" s="6" t="s">
        <v>448</v>
      </c>
      <c r="B21" s="5" t="s">
        <v>449</v>
      </c>
      <c r="C21" s="5" t="s">
        <v>449</v>
      </c>
      <c r="D21" s="5" t="s">
        <v>101</v>
      </c>
      <c r="E21" s="5" t="n">
        <v>4</v>
      </c>
      <c r="F21" s="5" t="s">
        <v>399</v>
      </c>
      <c r="G21" s="6" t="s">
        <v>121</v>
      </c>
      <c r="H21" s="5"/>
      <c r="I21" s="5" t="s">
        <v>450</v>
      </c>
    </row>
    <row r="22" customFormat="false" ht="52.2" hidden="false" customHeight="false" outlineLevel="0" collapsed="false">
      <c r="A22" s="6" t="s">
        <v>451</v>
      </c>
      <c r="B22" s="5" t="s">
        <v>217</v>
      </c>
      <c r="C22" s="5" t="s">
        <v>217</v>
      </c>
      <c r="D22" s="5" t="s">
        <v>101</v>
      </c>
      <c r="E22" s="5" t="n">
        <v>0</v>
      </c>
      <c r="F22" s="5" t="s">
        <v>399</v>
      </c>
      <c r="G22" s="6" t="s">
        <v>37</v>
      </c>
      <c r="H22" s="5"/>
      <c r="I22" s="5" t="s">
        <v>452</v>
      </c>
    </row>
    <row r="23" customFormat="false" ht="39.55" hidden="false" customHeight="false" outlineLevel="0" collapsed="false">
      <c r="A23" s="6" t="s">
        <v>453</v>
      </c>
      <c r="B23" s="5" t="s">
        <v>157</v>
      </c>
      <c r="C23" s="5" t="s">
        <v>157</v>
      </c>
      <c r="D23" s="5" t="s">
        <v>101</v>
      </c>
      <c r="E23" s="5" t="n">
        <v>1</v>
      </c>
      <c r="F23" s="5" t="s">
        <v>399</v>
      </c>
      <c r="G23" s="6" t="s">
        <v>121</v>
      </c>
      <c r="H23" s="5"/>
      <c r="I23" s="5" t="s">
        <v>454</v>
      </c>
    </row>
    <row r="24" customFormat="false" ht="39.55" hidden="false" customHeight="false" outlineLevel="0" collapsed="false">
      <c r="A24" s="6" t="s">
        <v>455</v>
      </c>
      <c r="B24" s="5" t="s">
        <v>456</v>
      </c>
      <c r="C24" s="5" t="s">
        <v>456</v>
      </c>
      <c r="D24" s="5" t="s">
        <v>101</v>
      </c>
      <c r="E24" s="5" t="n">
        <v>2</v>
      </c>
      <c r="F24" s="5" t="s">
        <v>399</v>
      </c>
      <c r="G24" s="6" t="s">
        <v>121</v>
      </c>
      <c r="H24" s="5"/>
      <c r="I24" s="5" t="s">
        <v>457</v>
      </c>
    </row>
    <row r="25" customFormat="false" ht="39.55" hidden="false" customHeight="false" outlineLevel="0" collapsed="false">
      <c r="A25" s="6" t="s">
        <v>458</v>
      </c>
      <c r="B25" s="5" t="s">
        <v>459</v>
      </c>
      <c r="C25" s="5" t="s">
        <v>459</v>
      </c>
      <c r="D25" s="5" t="s">
        <v>101</v>
      </c>
      <c r="E25" s="5" t="n">
        <v>3</v>
      </c>
      <c r="F25" s="5" t="s">
        <v>399</v>
      </c>
      <c r="G25" s="6" t="s">
        <v>121</v>
      </c>
      <c r="H25" s="5"/>
      <c r="I25" s="5" t="s">
        <v>460</v>
      </c>
    </row>
    <row r="26" customFormat="false" ht="39.55" hidden="false" customHeight="false" outlineLevel="0" collapsed="false">
      <c r="A26" s="6" t="s">
        <v>461</v>
      </c>
      <c r="B26" s="5" t="s">
        <v>193</v>
      </c>
      <c r="C26" s="5" t="s">
        <v>193</v>
      </c>
      <c r="D26" s="5" t="s">
        <v>101</v>
      </c>
      <c r="E26" s="5" t="n">
        <v>4</v>
      </c>
      <c r="F26" s="5" t="s">
        <v>399</v>
      </c>
      <c r="G26" s="6" t="s">
        <v>121</v>
      </c>
      <c r="H26" s="5"/>
      <c r="I26" s="5" t="s">
        <v>462</v>
      </c>
    </row>
    <row r="27" customFormat="false" ht="52.2" hidden="false" customHeight="false" outlineLevel="0" collapsed="false">
      <c r="A27" s="6" t="s">
        <v>463</v>
      </c>
      <c r="B27" s="5" t="s">
        <v>464</v>
      </c>
      <c r="C27" s="5" t="s">
        <v>464</v>
      </c>
      <c r="D27" s="5" t="s">
        <v>101</v>
      </c>
      <c r="E27" s="5" t="n">
        <v>0</v>
      </c>
      <c r="F27" s="5" t="s">
        <v>399</v>
      </c>
      <c r="G27" s="6" t="s">
        <v>37</v>
      </c>
      <c r="H27" s="5"/>
      <c r="I27" s="6" t="s">
        <v>465</v>
      </c>
    </row>
    <row r="28" customFormat="false" ht="52.2" hidden="false" customHeight="false" outlineLevel="0" collapsed="false">
      <c r="A28" s="6" t="s">
        <v>466</v>
      </c>
      <c r="B28" s="5" t="s">
        <v>467</v>
      </c>
      <c r="C28" s="5" t="s">
        <v>467</v>
      </c>
      <c r="D28" s="5" t="s">
        <v>101</v>
      </c>
      <c r="E28" s="5" t="n">
        <v>1</v>
      </c>
      <c r="F28" s="5" t="s">
        <v>399</v>
      </c>
      <c r="G28" s="6" t="s">
        <v>121</v>
      </c>
      <c r="H28" s="5"/>
      <c r="I28" s="6" t="s">
        <v>468</v>
      </c>
    </row>
    <row r="29" customFormat="false" ht="52.2" hidden="false" customHeight="false" outlineLevel="0" collapsed="false">
      <c r="A29" s="6" t="s">
        <v>469</v>
      </c>
      <c r="B29" s="5" t="s">
        <v>198</v>
      </c>
      <c r="C29" s="5" t="s">
        <v>198</v>
      </c>
      <c r="D29" s="5" t="s">
        <v>101</v>
      </c>
      <c r="E29" s="5" t="n">
        <v>2</v>
      </c>
      <c r="F29" s="19" t="s">
        <v>470</v>
      </c>
      <c r="G29" s="6" t="s">
        <v>121</v>
      </c>
      <c r="H29" s="6" t="s">
        <v>280</v>
      </c>
      <c r="I29" s="6" t="s">
        <v>471</v>
      </c>
    </row>
    <row r="30" customFormat="false" ht="39.55" hidden="false" customHeight="false" outlineLevel="0" collapsed="false">
      <c r="A30" s="6" t="s">
        <v>472</v>
      </c>
      <c r="B30" s="5" t="s">
        <v>473</v>
      </c>
      <c r="C30" s="5" t="s">
        <v>473</v>
      </c>
      <c r="D30" s="5" t="s">
        <v>101</v>
      </c>
      <c r="E30" s="5" t="n">
        <v>3</v>
      </c>
      <c r="F30" s="5" t="s">
        <v>399</v>
      </c>
      <c r="G30" s="6" t="s">
        <v>121</v>
      </c>
      <c r="H30" s="5"/>
      <c r="I30" s="5" t="s">
        <v>474</v>
      </c>
    </row>
    <row r="31" customFormat="false" ht="39.55" hidden="false" customHeight="false" outlineLevel="0" collapsed="false">
      <c r="A31" s="6" t="s">
        <v>475</v>
      </c>
      <c r="B31" s="5" t="s">
        <v>476</v>
      </c>
      <c r="C31" s="5" t="s">
        <v>476</v>
      </c>
      <c r="D31" s="5" t="s">
        <v>101</v>
      </c>
      <c r="E31" s="5" t="n">
        <v>4</v>
      </c>
      <c r="F31" s="5" t="s">
        <v>399</v>
      </c>
      <c r="G31" s="6" t="s">
        <v>121</v>
      </c>
      <c r="H31" s="5"/>
      <c r="I31" s="5" t="s">
        <v>477</v>
      </c>
    </row>
    <row r="32" customFormat="false" ht="26.85" hidden="false" customHeight="false" outlineLevel="0" collapsed="false">
      <c r="A32" s="6" t="s">
        <v>478</v>
      </c>
      <c r="B32" s="5" t="s">
        <v>231</v>
      </c>
      <c r="C32" s="5" t="s">
        <v>231</v>
      </c>
      <c r="D32" s="5" t="s">
        <v>101</v>
      </c>
      <c r="E32" s="5" t="n">
        <v>0</v>
      </c>
      <c r="F32" s="5" t="s">
        <v>399</v>
      </c>
      <c r="G32" s="6" t="s">
        <v>37</v>
      </c>
      <c r="H32" s="5"/>
      <c r="I32" s="5" t="s">
        <v>479</v>
      </c>
    </row>
    <row r="33" customFormat="false" ht="26.85" hidden="false" customHeight="false" outlineLevel="0" collapsed="false">
      <c r="A33" s="6" t="s">
        <v>480</v>
      </c>
      <c r="B33" s="5" t="s">
        <v>481</v>
      </c>
      <c r="C33" s="5" t="s">
        <v>481</v>
      </c>
      <c r="D33" s="5" t="s">
        <v>101</v>
      </c>
      <c r="E33" s="5" t="n">
        <v>1</v>
      </c>
      <c r="F33" s="5" t="s">
        <v>399</v>
      </c>
      <c r="G33" s="6" t="s">
        <v>121</v>
      </c>
      <c r="H33" s="5"/>
      <c r="I33" s="5" t="s">
        <v>482</v>
      </c>
    </row>
    <row r="34" customFormat="false" ht="26.85" hidden="false" customHeight="false" outlineLevel="0" collapsed="false">
      <c r="A34" s="6" t="s">
        <v>483</v>
      </c>
      <c r="B34" s="5" t="s">
        <v>484</v>
      </c>
      <c r="C34" s="5" t="s">
        <v>484</v>
      </c>
      <c r="D34" s="5" t="s">
        <v>101</v>
      </c>
      <c r="E34" s="5" t="n">
        <v>2</v>
      </c>
      <c r="F34" s="5" t="s">
        <v>399</v>
      </c>
      <c r="G34" s="6" t="s">
        <v>121</v>
      </c>
      <c r="H34" s="5"/>
      <c r="I34" s="5" t="s">
        <v>485</v>
      </c>
    </row>
    <row r="35" customFormat="false" ht="26.85" hidden="false" customHeight="false" outlineLevel="0" collapsed="false">
      <c r="A35" s="6" t="s">
        <v>486</v>
      </c>
      <c r="B35" s="5" t="s">
        <v>209</v>
      </c>
      <c r="C35" s="5" t="s">
        <v>209</v>
      </c>
      <c r="D35" s="5" t="s">
        <v>101</v>
      </c>
      <c r="E35" s="5" t="n">
        <v>3</v>
      </c>
      <c r="F35" s="5" t="s">
        <v>399</v>
      </c>
      <c r="G35" s="6" t="s">
        <v>121</v>
      </c>
      <c r="H35" s="5"/>
      <c r="I35" s="5" t="s">
        <v>487</v>
      </c>
    </row>
    <row r="36" customFormat="false" ht="26.85" hidden="false" customHeight="false" outlineLevel="0" collapsed="false">
      <c r="A36" s="6" t="s">
        <v>488</v>
      </c>
      <c r="B36" s="5" t="s">
        <v>489</v>
      </c>
      <c r="C36" s="5" t="s">
        <v>489</v>
      </c>
      <c r="D36" s="5" t="s">
        <v>101</v>
      </c>
      <c r="E36" s="5" t="n">
        <v>4</v>
      </c>
      <c r="F36" s="5" t="s">
        <v>399</v>
      </c>
      <c r="G36" s="6" t="s">
        <v>121</v>
      </c>
      <c r="H36" s="5"/>
      <c r="I36" s="5" t="s">
        <v>482</v>
      </c>
    </row>
    <row r="37" customFormat="false" ht="23.85" hidden="false" customHeight="false" outlineLevel="0" collapsed="false">
      <c r="A37" s="6" t="s">
        <v>490</v>
      </c>
      <c r="B37" s="5" t="s">
        <v>224</v>
      </c>
      <c r="C37" s="5" t="s">
        <v>224</v>
      </c>
      <c r="D37" s="5" t="s">
        <v>101</v>
      </c>
      <c r="E37" s="5" t="n">
        <v>0</v>
      </c>
      <c r="F37" s="19" t="s">
        <v>470</v>
      </c>
      <c r="G37" s="6" t="s">
        <v>37</v>
      </c>
      <c r="H37" s="6" t="s">
        <v>229</v>
      </c>
      <c r="I37" s="5"/>
    </row>
    <row r="38" customFormat="false" ht="39.55" hidden="false" customHeight="false" outlineLevel="0" collapsed="false">
      <c r="A38" s="6" t="s">
        <v>491</v>
      </c>
      <c r="B38" s="5" t="s">
        <v>492</v>
      </c>
      <c r="C38" s="5" t="s">
        <v>492</v>
      </c>
      <c r="D38" s="5" t="s">
        <v>101</v>
      </c>
      <c r="E38" s="5" t="n">
        <v>1</v>
      </c>
      <c r="F38" s="5" t="s">
        <v>399</v>
      </c>
      <c r="G38" s="6" t="s">
        <v>121</v>
      </c>
      <c r="H38" s="5"/>
      <c r="I38" s="5" t="s">
        <v>493</v>
      </c>
    </row>
    <row r="39" customFormat="false" ht="26.85" hidden="false" customHeight="false" outlineLevel="0" collapsed="false">
      <c r="A39" s="6" t="s">
        <v>494</v>
      </c>
      <c r="B39" s="5" t="s">
        <v>495</v>
      </c>
      <c r="C39" s="5" t="s">
        <v>495</v>
      </c>
      <c r="D39" s="5" t="s">
        <v>101</v>
      </c>
      <c r="E39" s="5" t="n">
        <v>2</v>
      </c>
      <c r="F39" s="5" t="s">
        <v>399</v>
      </c>
      <c r="G39" s="6" t="s">
        <v>121</v>
      </c>
      <c r="H39" s="5"/>
      <c r="I39" s="5" t="s">
        <v>496</v>
      </c>
    </row>
    <row r="40" customFormat="false" ht="26.85" hidden="false" customHeight="false" outlineLevel="0" collapsed="false">
      <c r="A40" s="6" t="s">
        <v>497</v>
      </c>
      <c r="B40" s="5" t="s">
        <v>498</v>
      </c>
      <c r="C40" s="5" t="s">
        <v>498</v>
      </c>
      <c r="D40" s="5" t="s">
        <v>101</v>
      </c>
      <c r="E40" s="5" t="n">
        <v>3</v>
      </c>
      <c r="F40" s="5" t="s">
        <v>399</v>
      </c>
      <c r="G40" s="6" t="s">
        <v>121</v>
      </c>
      <c r="H40" s="5"/>
      <c r="I40" s="5" t="s">
        <v>499</v>
      </c>
    </row>
    <row r="41" customFormat="false" ht="26.85" hidden="false" customHeight="false" outlineLevel="0" collapsed="false">
      <c r="A41" s="6" t="s">
        <v>500</v>
      </c>
      <c r="B41" s="5" t="s">
        <v>501</v>
      </c>
      <c r="C41" s="5" t="s">
        <v>501</v>
      </c>
      <c r="D41" s="5" t="s">
        <v>101</v>
      </c>
      <c r="E41" s="5" t="n">
        <v>4</v>
      </c>
      <c r="F41" s="5" t="s">
        <v>399</v>
      </c>
      <c r="G41" s="6" t="s">
        <v>121</v>
      </c>
      <c r="H41" s="5"/>
      <c r="I41" s="5" t="s">
        <v>502</v>
      </c>
    </row>
    <row r="42" customFormat="false" ht="26.85" hidden="false" customHeight="false" outlineLevel="0" collapsed="false">
      <c r="A42" s="6" t="s">
        <v>503</v>
      </c>
      <c r="B42" s="5" t="s">
        <v>504</v>
      </c>
      <c r="C42" s="5" t="s">
        <v>504</v>
      </c>
      <c r="D42" s="5" t="s">
        <v>101</v>
      </c>
      <c r="E42" s="5" t="n">
        <v>0</v>
      </c>
      <c r="F42" s="5" t="s">
        <v>399</v>
      </c>
      <c r="G42" s="6" t="s">
        <v>37</v>
      </c>
      <c r="H42" s="5"/>
      <c r="I42" s="5" t="s">
        <v>505</v>
      </c>
    </row>
    <row r="43" customFormat="false" ht="39.55" hidden="false" customHeight="false" outlineLevel="0" collapsed="false">
      <c r="A43" s="6" t="s">
        <v>506</v>
      </c>
      <c r="B43" s="5" t="s">
        <v>507</v>
      </c>
      <c r="C43" s="5" t="s">
        <v>507</v>
      </c>
      <c r="D43" s="5" t="s">
        <v>101</v>
      </c>
      <c r="E43" s="5" t="n">
        <v>1</v>
      </c>
      <c r="F43" s="5" t="s">
        <v>399</v>
      </c>
      <c r="G43" s="6" t="s">
        <v>121</v>
      </c>
      <c r="H43" s="5"/>
      <c r="I43" s="5" t="s">
        <v>508</v>
      </c>
    </row>
    <row r="44" customFormat="false" ht="15" hidden="false" customHeight="false" outlineLevel="0" collapsed="false">
      <c r="A44" s="6" t="s">
        <v>509</v>
      </c>
      <c r="B44" s="5" t="s">
        <v>166</v>
      </c>
      <c r="C44" s="5" t="s">
        <v>166</v>
      </c>
      <c r="D44" s="5" t="s">
        <v>101</v>
      </c>
      <c r="E44" s="5" t="n">
        <v>2</v>
      </c>
      <c r="F44" s="19" t="s">
        <v>470</v>
      </c>
      <c r="G44" s="6" t="s">
        <v>121</v>
      </c>
      <c r="H44" s="6" t="s">
        <v>179</v>
      </c>
      <c r="I44" s="5" t="s">
        <v>510</v>
      </c>
    </row>
    <row r="45" customFormat="false" ht="15" hidden="false" customHeight="false" outlineLevel="0" collapsed="false">
      <c r="A45" s="6" t="s">
        <v>511</v>
      </c>
      <c r="B45" s="5" t="s">
        <v>239</v>
      </c>
      <c r="C45" s="5" t="s">
        <v>239</v>
      </c>
      <c r="D45" s="5" t="s">
        <v>101</v>
      </c>
      <c r="E45" s="5" t="n">
        <v>3</v>
      </c>
      <c r="F45" s="5" t="s">
        <v>399</v>
      </c>
      <c r="G45" s="6" t="s">
        <v>121</v>
      </c>
      <c r="H45" s="5"/>
      <c r="I45" s="5" t="s">
        <v>512</v>
      </c>
    </row>
    <row r="46" customFormat="false" ht="39.55" hidden="false" customHeight="false" outlineLevel="0" collapsed="false">
      <c r="A46" s="6" t="s">
        <v>513</v>
      </c>
      <c r="B46" s="5" t="s">
        <v>514</v>
      </c>
      <c r="C46" s="5" t="s">
        <v>514</v>
      </c>
      <c r="D46" s="5" t="s">
        <v>101</v>
      </c>
      <c r="E46" s="5" t="n">
        <v>4</v>
      </c>
      <c r="F46" s="5" t="s">
        <v>399</v>
      </c>
      <c r="G46" s="6" t="s">
        <v>121</v>
      </c>
      <c r="H46" s="5"/>
      <c r="I46" s="5" t="s">
        <v>515</v>
      </c>
    </row>
    <row r="47" customFormat="false" ht="15" hidden="false" customHeight="false" outlineLevel="0" collapsed="false">
      <c r="A47" s="6" t="s">
        <v>516</v>
      </c>
      <c r="B47" s="5" t="s">
        <v>517</v>
      </c>
      <c r="C47" s="5" t="s">
        <v>517</v>
      </c>
      <c r="D47" s="5" t="s">
        <v>101</v>
      </c>
      <c r="E47" s="5" t="n">
        <v>0</v>
      </c>
      <c r="F47" s="5" t="s">
        <v>399</v>
      </c>
      <c r="G47" s="6" t="s">
        <v>37</v>
      </c>
      <c r="H47" s="5"/>
      <c r="I47" s="5" t="s">
        <v>518</v>
      </c>
    </row>
    <row r="48" customFormat="false" ht="15" hidden="false" customHeight="false" outlineLevel="0" collapsed="false">
      <c r="A48" s="6" t="s">
        <v>519</v>
      </c>
      <c r="B48" s="5" t="s">
        <v>520</v>
      </c>
      <c r="C48" s="5" t="s">
        <v>520</v>
      </c>
      <c r="D48" s="5" t="s">
        <v>101</v>
      </c>
      <c r="E48" s="5" t="n">
        <v>1</v>
      </c>
      <c r="F48" s="5" t="s">
        <v>399</v>
      </c>
      <c r="G48" s="6" t="s">
        <v>121</v>
      </c>
      <c r="H48" s="5"/>
      <c r="I48" s="5" t="s">
        <v>518</v>
      </c>
    </row>
    <row r="49" customFormat="false" ht="15" hidden="false" customHeight="false" outlineLevel="0" collapsed="false">
      <c r="A49" s="6" t="s">
        <v>521</v>
      </c>
      <c r="B49" s="5" t="s">
        <v>398</v>
      </c>
      <c r="C49" s="5" t="s">
        <v>522</v>
      </c>
      <c r="D49" s="5" t="s">
        <v>523</v>
      </c>
      <c r="E49" s="5" t="n">
        <v>2</v>
      </c>
      <c r="F49" s="5" t="s">
        <v>399</v>
      </c>
      <c r="G49" s="6" t="s">
        <v>121</v>
      </c>
      <c r="H49" s="5"/>
      <c r="I49" s="5" t="s">
        <v>524</v>
      </c>
    </row>
    <row r="50" customFormat="false" ht="26.85" hidden="false" customHeight="false" outlineLevel="0" collapsed="false">
      <c r="A50" s="6" t="s">
        <v>525</v>
      </c>
      <c r="B50" s="5" t="s">
        <v>407</v>
      </c>
      <c r="C50" s="5" t="s">
        <v>366</v>
      </c>
      <c r="D50" s="5" t="s">
        <v>523</v>
      </c>
      <c r="E50" s="5" t="n">
        <v>3</v>
      </c>
      <c r="F50" s="5" t="s">
        <v>399</v>
      </c>
      <c r="G50" s="6" t="s">
        <v>121</v>
      </c>
      <c r="H50" s="5"/>
      <c r="I50" s="5" t="s">
        <v>526</v>
      </c>
    </row>
    <row r="51" customFormat="false" ht="26.85" hidden="false" customHeight="false" outlineLevel="0" collapsed="false">
      <c r="A51" s="6" t="s">
        <v>527</v>
      </c>
      <c r="B51" s="5" t="s">
        <v>188</v>
      </c>
      <c r="C51" s="5" t="s">
        <v>310</v>
      </c>
      <c r="D51" s="5" t="s">
        <v>523</v>
      </c>
      <c r="E51" s="5" t="n">
        <v>4</v>
      </c>
      <c r="F51" s="19" t="s">
        <v>470</v>
      </c>
      <c r="G51" s="6" t="s">
        <v>121</v>
      </c>
      <c r="H51" s="6" t="s">
        <v>315</v>
      </c>
      <c r="I51" s="5" t="s">
        <v>528</v>
      </c>
    </row>
    <row r="52" customFormat="false" ht="23.85" hidden="false" customHeight="false" outlineLevel="0" collapsed="false">
      <c r="A52" s="6" t="s">
        <v>529</v>
      </c>
      <c r="B52" s="5" t="s">
        <v>147</v>
      </c>
      <c r="C52" s="5" t="s">
        <v>148</v>
      </c>
      <c r="D52" s="5" t="s">
        <v>523</v>
      </c>
      <c r="E52" s="5" t="n">
        <v>0</v>
      </c>
      <c r="F52" s="19" t="s">
        <v>470</v>
      </c>
      <c r="G52" s="6" t="s">
        <v>37</v>
      </c>
      <c r="H52" s="6" t="s">
        <v>155</v>
      </c>
      <c r="I52" s="6" t="s">
        <v>530</v>
      </c>
    </row>
    <row r="53" customFormat="false" ht="52.2" hidden="false" customHeight="false" outlineLevel="0" collapsed="false">
      <c r="A53" s="6" t="s">
        <v>531</v>
      </c>
      <c r="B53" s="5" t="s">
        <v>431</v>
      </c>
      <c r="C53" s="5" t="s">
        <v>532</v>
      </c>
      <c r="D53" s="5" t="s">
        <v>523</v>
      </c>
      <c r="E53" s="5" t="n">
        <v>1</v>
      </c>
      <c r="F53" s="5" t="s">
        <v>399</v>
      </c>
      <c r="G53" s="6" t="s">
        <v>121</v>
      </c>
      <c r="H53" s="5"/>
      <c r="I53" s="5" t="s">
        <v>533</v>
      </c>
    </row>
    <row r="54" customFormat="false" ht="39.55" hidden="false" customHeight="false" outlineLevel="0" collapsed="false">
      <c r="A54" s="6" t="s">
        <v>534</v>
      </c>
      <c r="B54" s="5" t="s">
        <v>431</v>
      </c>
      <c r="C54" s="5" t="s">
        <v>535</v>
      </c>
      <c r="D54" s="5" t="s">
        <v>523</v>
      </c>
      <c r="E54" s="5" t="n">
        <v>2</v>
      </c>
      <c r="F54" s="5" t="s">
        <v>399</v>
      </c>
      <c r="G54" s="6" t="s">
        <v>121</v>
      </c>
      <c r="H54" s="5"/>
      <c r="I54" s="5" t="s">
        <v>536</v>
      </c>
    </row>
    <row r="55" customFormat="false" ht="52.2" hidden="false" customHeight="false" outlineLevel="0" collapsed="false">
      <c r="A55" s="6" t="s">
        <v>537</v>
      </c>
      <c r="B55" s="5" t="s">
        <v>431</v>
      </c>
      <c r="C55" s="5" t="s">
        <v>538</v>
      </c>
      <c r="D55" s="5" t="s">
        <v>523</v>
      </c>
      <c r="E55" s="5" t="n">
        <v>3</v>
      </c>
      <c r="F55" s="5" t="s">
        <v>399</v>
      </c>
      <c r="G55" s="6" t="s">
        <v>121</v>
      </c>
      <c r="H55" s="5"/>
      <c r="I55" s="5" t="s">
        <v>539</v>
      </c>
    </row>
    <row r="56" customFormat="false" ht="26.85" hidden="false" customHeight="false" outlineLevel="0" collapsed="false">
      <c r="A56" s="6" t="s">
        <v>540</v>
      </c>
      <c r="B56" s="5" t="s">
        <v>434</v>
      </c>
      <c r="C56" s="5" t="s">
        <v>541</v>
      </c>
      <c r="D56" s="5" t="s">
        <v>523</v>
      </c>
      <c r="E56" s="5" t="n">
        <v>4</v>
      </c>
      <c r="F56" s="5" t="s">
        <v>399</v>
      </c>
      <c r="G56" s="6" t="s">
        <v>121</v>
      </c>
      <c r="H56" s="5"/>
      <c r="I56" s="5" t="s">
        <v>542</v>
      </c>
    </row>
    <row r="57" customFormat="false" ht="52.2" hidden="false" customHeight="false" outlineLevel="0" collapsed="false">
      <c r="A57" s="6" t="s">
        <v>543</v>
      </c>
      <c r="B57" s="5" t="s">
        <v>157</v>
      </c>
      <c r="C57" s="5" t="s">
        <v>544</v>
      </c>
      <c r="D57" s="5" t="s">
        <v>523</v>
      </c>
      <c r="E57" s="5" t="n">
        <v>0</v>
      </c>
      <c r="F57" s="5" t="s">
        <v>399</v>
      </c>
      <c r="G57" s="6" t="s">
        <v>37</v>
      </c>
      <c r="H57" s="5"/>
      <c r="I57" s="5" t="s">
        <v>545</v>
      </c>
    </row>
    <row r="58" customFormat="false" ht="23.85" hidden="false" customHeight="false" outlineLevel="0" collapsed="false">
      <c r="A58" s="6" t="s">
        <v>546</v>
      </c>
      <c r="B58" s="5" t="s">
        <v>157</v>
      </c>
      <c r="C58" s="5" t="s">
        <v>158</v>
      </c>
      <c r="D58" s="5" t="s">
        <v>523</v>
      </c>
      <c r="E58" s="5" t="n">
        <v>1</v>
      </c>
      <c r="F58" s="19" t="s">
        <v>470</v>
      </c>
      <c r="G58" s="6" t="s">
        <v>121</v>
      </c>
      <c r="H58" s="6" t="s">
        <v>164</v>
      </c>
      <c r="I58" s="6" t="s">
        <v>547</v>
      </c>
    </row>
    <row r="59" customFormat="false" ht="39.55" hidden="false" customHeight="false" outlineLevel="0" collapsed="false">
      <c r="A59" s="6" t="s">
        <v>548</v>
      </c>
      <c r="B59" s="5" t="s">
        <v>456</v>
      </c>
      <c r="C59" s="5" t="s">
        <v>549</v>
      </c>
      <c r="D59" s="5" t="s">
        <v>523</v>
      </c>
      <c r="E59" s="5" t="n">
        <v>2</v>
      </c>
      <c r="F59" s="5" t="s">
        <v>399</v>
      </c>
      <c r="G59" s="6" t="s">
        <v>121</v>
      </c>
      <c r="H59" s="5"/>
      <c r="I59" s="5" t="s">
        <v>550</v>
      </c>
    </row>
    <row r="60" customFormat="false" ht="52.2" hidden="false" customHeight="false" outlineLevel="0" collapsed="false">
      <c r="A60" s="6" t="s">
        <v>551</v>
      </c>
      <c r="B60" s="5" t="s">
        <v>464</v>
      </c>
      <c r="C60" s="5" t="s">
        <v>552</v>
      </c>
      <c r="D60" s="5" t="s">
        <v>523</v>
      </c>
      <c r="E60" s="5" t="n">
        <v>3</v>
      </c>
      <c r="F60" s="5" t="s">
        <v>399</v>
      </c>
      <c r="G60" s="6" t="s">
        <v>121</v>
      </c>
      <c r="H60" s="5"/>
      <c r="I60" s="6" t="s">
        <v>553</v>
      </c>
    </row>
    <row r="61" customFormat="false" ht="52.2" hidden="false" customHeight="false" outlineLevel="0" collapsed="false">
      <c r="A61" s="6" t="s">
        <v>554</v>
      </c>
      <c r="B61" s="5" t="s">
        <v>467</v>
      </c>
      <c r="C61" s="5" t="s">
        <v>555</v>
      </c>
      <c r="D61" s="5" t="s">
        <v>523</v>
      </c>
      <c r="E61" s="5" t="n">
        <v>4</v>
      </c>
      <c r="F61" s="5" t="s">
        <v>399</v>
      </c>
      <c r="G61" s="6" t="s">
        <v>121</v>
      </c>
      <c r="H61" s="5"/>
      <c r="I61" s="6" t="s">
        <v>556</v>
      </c>
    </row>
    <row r="62" customFormat="false" ht="52.2" hidden="false" customHeight="false" outlineLevel="0" collapsed="false">
      <c r="A62" s="6" t="s">
        <v>557</v>
      </c>
      <c r="B62" s="5" t="s">
        <v>467</v>
      </c>
      <c r="C62" s="5" t="s">
        <v>558</v>
      </c>
      <c r="D62" s="5" t="s">
        <v>523</v>
      </c>
      <c r="E62" s="5" t="n">
        <v>0</v>
      </c>
      <c r="F62" s="5" t="s">
        <v>399</v>
      </c>
      <c r="G62" s="6" t="s">
        <v>37</v>
      </c>
      <c r="H62" s="5"/>
      <c r="I62" s="6" t="s">
        <v>559</v>
      </c>
    </row>
    <row r="63" customFormat="false" ht="50.7" hidden="false" customHeight="false" outlineLevel="0" collapsed="false">
      <c r="A63" s="6" t="s">
        <v>560</v>
      </c>
      <c r="B63" s="5" t="s">
        <v>198</v>
      </c>
      <c r="C63" s="5" t="s">
        <v>282</v>
      </c>
      <c r="D63" s="5" t="s">
        <v>523</v>
      </c>
      <c r="E63" s="5" t="n">
        <v>1</v>
      </c>
      <c r="F63" s="19" t="s">
        <v>470</v>
      </c>
      <c r="G63" s="6" t="s">
        <v>121</v>
      </c>
      <c r="H63" s="6" t="s">
        <v>286</v>
      </c>
      <c r="I63" s="5" t="s">
        <v>561</v>
      </c>
    </row>
    <row r="64" customFormat="false" ht="26.85" hidden="false" customHeight="false" outlineLevel="0" collapsed="false">
      <c r="A64" s="6" t="s">
        <v>562</v>
      </c>
      <c r="B64" s="5" t="s">
        <v>484</v>
      </c>
      <c r="C64" s="5" t="s">
        <v>563</v>
      </c>
      <c r="D64" s="5" t="s">
        <v>523</v>
      </c>
      <c r="E64" s="5" t="n">
        <v>2</v>
      </c>
      <c r="F64" s="5" t="s">
        <v>399</v>
      </c>
      <c r="G64" s="6" t="s">
        <v>121</v>
      </c>
      <c r="H64" s="5"/>
      <c r="I64" s="5" t="s">
        <v>564</v>
      </c>
    </row>
    <row r="65" customFormat="false" ht="26.85" hidden="false" customHeight="false" outlineLevel="0" collapsed="false">
      <c r="A65" s="6" t="s">
        <v>565</v>
      </c>
      <c r="B65" s="5" t="s">
        <v>209</v>
      </c>
      <c r="C65" s="5" t="s">
        <v>566</v>
      </c>
      <c r="D65" s="5" t="s">
        <v>523</v>
      </c>
      <c r="E65" s="5" t="n">
        <v>3</v>
      </c>
      <c r="F65" s="5" t="s">
        <v>399</v>
      </c>
      <c r="G65" s="6" t="s">
        <v>121</v>
      </c>
      <c r="H65" s="5"/>
      <c r="I65" s="5" t="s">
        <v>567</v>
      </c>
    </row>
    <row r="66" customFormat="false" ht="15" hidden="false" customHeight="false" outlineLevel="0" collapsed="false">
      <c r="A66" s="6" t="s">
        <v>568</v>
      </c>
      <c r="B66" s="5" t="s">
        <v>501</v>
      </c>
      <c r="C66" s="5" t="s">
        <v>569</v>
      </c>
      <c r="D66" s="5" t="s">
        <v>523</v>
      </c>
      <c r="E66" s="5" t="n">
        <v>4</v>
      </c>
      <c r="F66" s="5" t="s">
        <v>399</v>
      </c>
      <c r="G66" s="6" t="s">
        <v>121</v>
      </c>
      <c r="H66" s="5"/>
      <c r="I66" s="5" t="s">
        <v>570</v>
      </c>
    </row>
    <row r="67" customFormat="false" ht="39.55" hidden="false" customHeight="false" outlineLevel="0" collapsed="false">
      <c r="A67" s="6" t="s">
        <v>571</v>
      </c>
      <c r="B67" s="5" t="s">
        <v>501</v>
      </c>
      <c r="C67" s="5" t="s">
        <v>572</v>
      </c>
      <c r="D67" s="5" t="s">
        <v>523</v>
      </c>
      <c r="E67" s="5" t="n">
        <v>0</v>
      </c>
      <c r="F67" s="5" t="s">
        <v>399</v>
      </c>
      <c r="G67" s="6" t="s">
        <v>37</v>
      </c>
      <c r="H67" s="5"/>
      <c r="I67" s="5" t="s">
        <v>573</v>
      </c>
    </row>
    <row r="68" customFormat="false" ht="15" hidden="false" customHeight="false" outlineLevel="0" collapsed="false">
      <c r="A68" s="6" t="s">
        <v>574</v>
      </c>
      <c r="B68" s="5" t="s">
        <v>166</v>
      </c>
      <c r="C68" s="5" t="s">
        <v>167</v>
      </c>
      <c r="D68" s="5" t="s">
        <v>523</v>
      </c>
      <c r="E68" s="5" t="n">
        <v>1</v>
      </c>
      <c r="F68" s="19" t="s">
        <v>470</v>
      </c>
      <c r="G68" s="6" t="s">
        <v>121</v>
      </c>
      <c r="H68" s="6" t="s">
        <v>173</v>
      </c>
      <c r="I68" s="5" t="s">
        <v>575</v>
      </c>
    </row>
    <row r="69" customFormat="false" ht="15" hidden="false" customHeight="false" outlineLevel="0" collapsed="false">
      <c r="A69" s="6" t="s">
        <v>576</v>
      </c>
      <c r="B69" s="5" t="s">
        <v>398</v>
      </c>
      <c r="C69" s="5" t="s">
        <v>577</v>
      </c>
      <c r="D69" s="5" t="s">
        <v>578</v>
      </c>
      <c r="E69" s="5" t="n">
        <v>2</v>
      </c>
      <c r="F69" s="5" t="s">
        <v>399</v>
      </c>
      <c r="G69" s="6" t="s">
        <v>121</v>
      </c>
      <c r="H69" s="5"/>
      <c r="I69" s="5" t="s">
        <v>524</v>
      </c>
    </row>
    <row r="70" customFormat="false" ht="15" hidden="false" customHeight="false" outlineLevel="0" collapsed="false">
      <c r="A70" s="6" t="s">
        <v>579</v>
      </c>
      <c r="B70" s="5" t="s">
        <v>398</v>
      </c>
      <c r="C70" s="5" t="s">
        <v>580</v>
      </c>
      <c r="D70" s="5" t="s">
        <v>578</v>
      </c>
      <c r="E70" s="5" t="n">
        <v>3</v>
      </c>
      <c r="F70" s="5" t="s">
        <v>399</v>
      </c>
      <c r="G70" s="6" t="s">
        <v>121</v>
      </c>
      <c r="H70" s="5"/>
      <c r="I70" s="5" t="s">
        <v>524</v>
      </c>
    </row>
    <row r="71" customFormat="false" ht="15" hidden="false" customHeight="false" outlineLevel="0" collapsed="false">
      <c r="A71" s="6" t="s">
        <v>581</v>
      </c>
      <c r="B71" s="5" t="s">
        <v>75</v>
      </c>
      <c r="C71" s="5" t="s">
        <v>582</v>
      </c>
      <c r="D71" s="5" t="s">
        <v>578</v>
      </c>
      <c r="E71" s="5" t="n">
        <v>4</v>
      </c>
      <c r="F71" s="5" t="s">
        <v>399</v>
      </c>
      <c r="G71" s="6" t="s">
        <v>121</v>
      </c>
      <c r="H71" s="5"/>
      <c r="I71" s="5" t="s">
        <v>524</v>
      </c>
    </row>
    <row r="72" customFormat="false" ht="15" hidden="false" customHeight="false" outlineLevel="0" collapsed="false">
      <c r="A72" s="6" t="s">
        <v>583</v>
      </c>
      <c r="B72" s="5" t="s">
        <v>75</v>
      </c>
      <c r="C72" s="5" t="s">
        <v>584</v>
      </c>
      <c r="D72" s="5" t="s">
        <v>578</v>
      </c>
      <c r="E72" s="5" t="n">
        <v>0</v>
      </c>
      <c r="F72" s="5" t="s">
        <v>399</v>
      </c>
      <c r="G72" s="6" t="s">
        <v>37</v>
      </c>
      <c r="H72" s="5"/>
      <c r="I72" s="5" t="s">
        <v>524</v>
      </c>
    </row>
    <row r="73" customFormat="false" ht="15" hidden="false" customHeight="false" outlineLevel="0" collapsed="false">
      <c r="A73" s="6" t="s">
        <v>585</v>
      </c>
      <c r="B73" s="5" t="s">
        <v>404</v>
      </c>
      <c r="C73" s="5" t="s">
        <v>586</v>
      </c>
      <c r="D73" s="5" t="s">
        <v>578</v>
      </c>
      <c r="E73" s="5" t="n">
        <v>1</v>
      </c>
      <c r="F73" s="5" t="s">
        <v>399</v>
      </c>
      <c r="G73" s="6" t="s">
        <v>121</v>
      </c>
      <c r="H73" s="5"/>
      <c r="I73" s="5" t="s">
        <v>524</v>
      </c>
    </row>
    <row r="74" customFormat="false" ht="15" hidden="false" customHeight="false" outlineLevel="0" collapsed="false">
      <c r="A74" s="6" t="s">
        <v>587</v>
      </c>
      <c r="B74" s="5" t="s">
        <v>302</v>
      </c>
      <c r="C74" s="5" t="s">
        <v>588</v>
      </c>
      <c r="D74" s="5" t="s">
        <v>578</v>
      </c>
      <c r="E74" s="5" t="n">
        <v>2</v>
      </c>
      <c r="F74" s="5" t="s">
        <v>399</v>
      </c>
      <c r="G74" s="6" t="s">
        <v>121</v>
      </c>
      <c r="H74" s="5"/>
      <c r="I74" s="5" t="s">
        <v>524</v>
      </c>
    </row>
    <row r="75" customFormat="false" ht="15" hidden="false" customHeight="false" outlineLevel="0" collapsed="false">
      <c r="A75" s="6" t="s">
        <v>589</v>
      </c>
      <c r="B75" s="5" t="s">
        <v>323</v>
      </c>
      <c r="C75" s="5" t="s">
        <v>590</v>
      </c>
      <c r="D75" s="5" t="s">
        <v>578</v>
      </c>
      <c r="E75" s="5" t="n">
        <v>3</v>
      </c>
      <c r="F75" s="5" t="s">
        <v>399</v>
      </c>
      <c r="G75" s="6" t="s">
        <v>121</v>
      </c>
      <c r="H75" s="5"/>
      <c r="I75" s="5" t="s">
        <v>524</v>
      </c>
    </row>
    <row r="76" customFormat="false" ht="23.85" hidden="false" customHeight="false" outlineLevel="0" collapsed="false">
      <c r="A76" s="6" t="s">
        <v>591</v>
      </c>
      <c r="B76" s="5" t="s">
        <v>246</v>
      </c>
      <c r="C76" s="5" t="s">
        <v>247</v>
      </c>
      <c r="D76" s="5" t="s">
        <v>578</v>
      </c>
      <c r="E76" s="5" t="n">
        <v>4</v>
      </c>
      <c r="F76" s="19" t="s">
        <v>470</v>
      </c>
      <c r="G76" s="6" t="s">
        <v>121</v>
      </c>
      <c r="H76" s="6" t="s">
        <v>255</v>
      </c>
      <c r="I76" s="5" t="s">
        <v>592</v>
      </c>
    </row>
    <row r="77" customFormat="false" ht="26.85" hidden="false" customHeight="false" outlineLevel="0" collapsed="false">
      <c r="A77" s="6" t="s">
        <v>593</v>
      </c>
      <c r="B77" s="5" t="s">
        <v>246</v>
      </c>
      <c r="C77" s="5" t="s">
        <v>594</v>
      </c>
      <c r="D77" s="5" t="s">
        <v>578</v>
      </c>
      <c r="E77" s="5" t="n">
        <v>0</v>
      </c>
      <c r="F77" s="5" t="s">
        <v>399</v>
      </c>
      <c r="G77" s="6" t="s">
        <v>37</v>
      </c>
      <c r="H77" s="5"/>
      <c r="I77" s="5" t="s">
        <v>595</v>
      </c>
    </row>
    <row r="78" customFormat="false" ht="26.85" hidden="false" customHeight="false" outlineLevel="0" collapsed="false">
      <c r="A78" s="6" t="s">
        <v>596</v>
      </c>
      <c r="B78" s="5" t="s">
        <v>246</v>
      </c>
      <c r="C78" s="5" t="s">
        <v>597</v>
      </c>
      <c r="D78" s="5" t="s">
        <v>578</v>
      </c>
      <c r="E78" s="5" t="n">
        <v>1</v>
      </c>
      <c r="F78" s="5" t="s">
        <v>399</v>
      </c>
      <c r="G78" s="6" t="s">
        <v>121</v>
      </c>
      <c r="H78" s="5"/>
      <c r="I78" s="5" t="s">
        <v>595</v>
      </c>
    </row>
    <row r="79" customFormat="false" ht="15" hidden="false" customHeight="false" outlineLevel="0" collapsed="false">
      <c r="A79" s="6" t="s">
        <v>598</v>
      </c>
      <c r="B79" s="5" t="s">
        <v>416</v>
      </c>
      <c r="C79" s="5" t="s">
        <v>599</v>
      </c>
      <c r="D79" s="5" t="s">
        <v>578</v>
      </c>
      <c r="E79" s="5" t="n">
        <v>2</v>
      </c>
      <c r="F79" s="5" t="s">
        <v>399</v>
      </c>
      <c r="G79" s="6" t="s">
        <v>121</v>
      </c>
      <c r="H79" s="5"/>
      <c r="I79" s="5" t="s">
        <v>600</v>
      </c>
    </row>
    <row r="80" customFormat="false" ht="26.85" hidden="false" customHeight="false" outlineLevel="0" collapsed="false">
      <c r="A80" s="6" t="s">
        <v>601</v>
      </c>
      <c r="B80" s="5" t="s">
        <v>419</v>
      </c>
      <c r="C80" s="5" t="s">
        <v>602</v>
      </c>
      <c r="D80" s="5" t="s">
        <v>578</v>
      </c>
      <c r="E80" s="5" t="n">
        <v>3</v>
      </c>
      <c r="F80" s="5" t="s">
        <v>399</v>
      </c>
      <c r="G80" s="6" t="s">
        <v>121</v>
      </c>
      <c r="H80" s="5"/>
      <c r="I80" s="5" t="s">
        <v>603</v>
      </c>
    </row>
    <row r="81" customFormat="false" ht="50.7" hidden="false" customHeight="false" outlineLevel="0" collapsed="false">
      <c r="A81" s="6" t="s">
        <v>604</v>
      </c>
      <c r="B81" s="5" t="s">
        <v>181</v>
      </c>
      <c r="C81" s="5" t="s">
        <v>605</v>
      </c>
      <c r="D81" s="5" t="s">
        <v>578</v>
      </c>
      <c r="E81" s="5" t="n">
        <v>4</v>
      </c>
      <c r="F81" s="5" t="s">
        <v>399</v>
      </c>
      <c r="G81" s="6" t="s">
        <v>121</v>
      </c>
      <c r="H81" s="5"/>
      <c r="I81" s="5" t="s">
        <v>606</v>
      </c>
    </row>
    <row r="82" customFormat="false" ht="15" hidden="false" customHeight="false" outlineLevel="0" collapsed="false">
      <c r="A82" s="6" t="s">
        <v>607</v>
      </c>
      <c r="B82" s="5" t="s">
        <v>181</v>
      </c>
      <c r="C82" s="5" t="s">
        <v>182</v>
      </c>
      <c r="D82" s="5" t="s">
        <v>578</v>
      </c>
      <c r="E82" s="5" t="n">
        <v>0</v>
      </c>
      <c r="F82" s="19" t="s">
        <v>470</v>
      </c>
      <c r="G82" s="6" t="s">
        <v>37</v>
      </c>
      <c r="H82" s="6" t="s">
        <v>186</v>
      </c>
      <c r="I82" s="6" t="s">
        <v>608</v>
      </c>
    </row>
    <row r="83" customFormat="false" ht="15" hidden="false" customHeight="false" outlineLevel="0" collapsed="false">
      <c r="A83" s="6" t="s">
        <v>609</v>
      </c>
      <c r="B83" s="5" t="s">
        <v>188</v>
      </c>
      <c r="C83" s="5" t="s">
        <v>610</v>
      </c>
      <c r="D83" s="5" t="s">
        <v>578</v>
      </c>
      <c r="E83" s="5" t="n">
        <v>1</v>
      </c>
      <c r="F83" s="5" t="s">
        <v>399</v>
      </c>
      <c r="G83" s="6" t="s">
        <v>121</v>
      </c>
      <c r="H83" s="5"/>
      <c r="I83" s="5" t="s">
        <v>611</v>
      </c>
    </row>
    <row r="84" customFormat="false" ht="26.85" hidden="false" customHeight="false" outlineLevel="0" collapsed="false">
      <c r="A84" s="6" t="s">
        <v>612</v>
      </c>
      <c r="B84" s="5" t="s">
        <v>188</v>
      </c>
      <c r="C84" s="5" t="s">
        <v>613</v>
      </c>
      <c r="D84" s="5" t="s">
        <v>578</v>
      </c>
      <c r="E84" s="5" t="n">
        <v>2</v>
      </c>
      <c r="F84" s="5" t="s">
        <v>399</v>
      </c>
      <c r="G84" s="6" t="s">
        <v>121</v>
      </c>
      <c r="H84" s="5"/>
      <c r="I84" s="5" t="s">
        <v>614</v>
      </c>
    </row>
    <row r="85" customFormat="false" ht="26.85" hidden="false" customHeight="false" outlineLevel="0" collapsed="false">
      <c r="A85" s="6" t="s">
        <v>615</v>
      </c>
      <c r="B85" s="5" t="s">
        <v>188</v>
      </c>
      <c r="C85" s="5" t="s">
        <v>616</v>
      </c>
      <c r="D85" s="5" t="s">
        <v>578</v>
      </c>
      <c r="E85" s="5" t="n">
        <v>3</v>
      </c>
      <c r="F85" s="5" t="s">
        <v>399</v>
      </c>
      <c r="G85" s="6" t="s">
        <v>121</v>
      </c>
      <c r="H85" s="5"/>
      <c r="I85" s="5" t="s">
        <v>617</v>
      </c>
    </row>
    <row r="86" customFormat="false" ht="39.55" hidden="false" customHeight="false" outlineLevel="0" collapsed="false">
      <c r="A86" s="6" t="s">
        <v>618</v>
      </c>
      <c r="B86" s="5" t="s">
        <v>147</v>
      </c>
      <c r="C86" s="5" t="s">
        <v>619</v>
      </c>
      <c r="D86" s="5" t="s">
        <v>578</v>
      </c>
      <c r="E86" s="5" t="n">
        <v>4</v>
      </c>
      <c r="F86" s="5" t="s">
        <v>399</v>
      </c>
      <c r="G86" s="6" t="s">
        <v>121</v>
      </c>
      <c r="H86" s="5"/>
      <c r="I86" s="5" t="s">
        <v>620</v>
      </c>
    </row>
    <row r="87" customFormat="false" ht="52.2" hidden="false" customHeight="false" outlineLevel="0" collapsed="false">
      <c r="A87" s="6" t="s">
        <v>621</v>
      </c>
      <c r="B87" s="5" t="s">
        <v>147</v>
      </c>
      <c r="C87" s="5" t="s">
        <v>622</v>
      </c>
      <c r="D87" s="5" t="s">
        <v>578</v>
      </c>
      <c r="E87" s="5" t="n">
        <v>0</v>
      </c>
      <c r="F87" s="5" t="s">
        <v>399</v>
      </c>
      <c r="G87" s="6" t="s">
        <v>37</v>
      </c>
      <c r="H87" s="5"/>
      <c r="I87" s="5" t="s">
        <v>623</v>
      </c>
    </row>
    <row r="88" customFormat="false" ht="39.55" hidden="false" customHeight="false" outlineLevel="0" collapsed="false">
      <c r="A88" s="6" t="s">
        <v>624</v>
      </c>
      <c r="B88" s="5" t="s">
        <v>428</v>
      </c>
      <c r="C88" s="5" t="s">
        <v>625</v>
      </c>
      <c r="D88" s="5" t="s">
        <v>578</v>
      </c>
      <c r="E88" s="5" t="n">
        <v>1</v>
      </c>
      <c r="F88" s="5" t="s">
        <v>399</v>
      </c>
      <c r="G88" s="6" t="s">
        <v>121</v>
      </c>
      <c r="H88" s="5"/>
      <c r="I88" s="5" t="s">
        <v>626</v>
      </c>
    </row>
    <row r="89" customFormat="false" ht="52.2" hidden="false" customHeight="false" outlineLevel="0" collapsed="false">
      <c r="A89" s="6" t="s">
        <v>627</v>
      </c>
      <c r="B89" s="5" t="s">
        <v>431</v>
      </c>
      <c r="C89" s="5" t="s">
        <v>628</v>
      </c>
      <c r="D89" s="5" t="s">
        <v>578</v>
      </c>
      <c r="E89" s="5" t="n">
        <v>2</v>
      </c>
      <c r="F89" s="5" t="s">
        <v>399</v>
      </c>
      <c r="G89" s="6" t="s">
        <v>121</v>
      </c>
      <c r="H89" s="5"/>
      <c r="I89" s="5" t="s">
        <v>629</v>
      </c>
    </row>
    <row r="90" customFormat="false" ht="26.85" hidden="false" customHeight="false" outlineLevel="0" collapsed="false">
      <c r="A90" s="6" t="s">
        <v>630</v>
      </c>
      <c r="B90" s="5" t="s">
        <v>437</v>
      </c>
      <c r="C90" s="5" t="s">
        <v>631</v>
      </c>
      <c r="D90" s="5" t="s">
        <v>578</v>
      </c>
      <c r="E90" s="5" t="n">
        <v>3</v>
      </c>
      <c r="F90" s="5" t="s">
        <v>399</v>
      </c>
      <c r="G90" s="6" t="s">
        <v>121</v>
      </c>
      <c r="H90" s="5"/>
      <c r="I90" s="5" t="s">
        <v>632</v>
      </c>
    </row>
    <row r="91" customFormat="false" ht="52.2" hidden="false" customHeight="false" outlineLevel="0" collapsed="false">
      <c r="A91" s="6" t="s">
        <v>633</v>
      </c>
      <c r="B91" s="5" t="s">
        <v>440</v>
      </c>
      <c r="C91" s="5" t="s">
        <v>634</v>
      </c>
      <c r="D91" s="5" t="s">
        <v>578</v>
      </c>
      <c r="E91" s="5" t="n">
        <v>4</v>
      </c>
      <c r="F91" s="5" t="s">
        <v>399</v>
      </c>
      <c r="G91" s="6" t="s">
        <v>121</v>
      </c>
      <c r="H91" s="5"/>
      <c r="I91" s="5" t="s">
        <v>635</v>
      </c>
    </row>
    <row r="92" customFormat="false" ht="26.85" hidden="false" customHeight="false" outlineLevel="0" collapsed="false">
      <c r="A92" s="6" t="s">
        <v>636</v>
      </c>
      <c r="B92" s="5" t="s">
        <v>443</v>
      </c>
      <c r="C92" s="5" t="s">
        <v>637</v>
      </c>
      <c r="D92" s="5" t="s">
        <v>578</v>
      </c>
      <c r="E92" s="5" t="n">
        <v>0</v>
      </c>
      <c r="F92" s="5" t="s">
        <v>399</v>
      </c>
      <c r="G92" s="6" t="s">
        <v>37</v>
      </c>
      <c r="H92" s="5"/>
      <c r="I92" s="5" t="s">
        <v>638</v>
      </c>
    </row>
    <row r="93" customFormat="false" ht="26.85" hidden="false" customHeight="false" outlineLevel="0" collapsed="false">
      <c r="A93" s="6" t="s">
        <v>639</v>
      </c>
      <c r="B93" s="5" t="s">
        <v>446</v>
      </c>
      <c r="C93" s="5" t="s">
        <v>640</v>
      </c>
      <c r="D93" s="5" t="s">
        <v>578</v>
      </c>
      <c r="E93" s="5" t="n">
        <v>1</v>
      </c>
      <c r="F93" s="5" t="s">
        <v>399</v>
      </c>
      <c r="G93" s="6" t="s">
        <v>121</v>
      </c>
      <c r="H93" s="5"/>
      <c r="I93" s="5" t="s">
        <v>641</v>
      </c>
    </row>
    <row r="94" customFormat="false" ht="26.85" hidden="false" customHeight="false" outlineLevel="0" collapsed="false">
      <c r="A94" s="6" t="s">
        <v>642</v>
      </c>
      <c r="B94" s="5" t="s">
        <v>449</v>
      </c>
      <c r="C94" s="5" t="s">
        <v>643</v>
      </c>
      <c r="D94" s="5" t="s">
        <v>578</v>
      </c>
      <c r="E94" s="5" t="n">
        <v>2</v>
      </c>
      <c r="F94" s="5" t="s">
        <v>399</v>
      </c>
      <c r="G94" s="6" t="s">
        <v>121</v>
      </c>
      <c r="H94" s="5"/>
      <c r="I94" s="5" t="s">
        <v>644</v>
      </c>
    </row>
    <row r="95" customFormat="false" ht="52.2" hidden="false" customHeight="false" outlineLevel="0" collapsed="false">
      <c r="A95" s="6" t="s">
        <v>645</v>
      </c>
      <c r="B95" s="5" t="s">
        <v>449</v>
      </c>
      <c r="C95" s="5" t="s">
        <v>646</v>
      </c>
      <c r="D95" s="5" t="s">
        <v>578</v>
      </c>
      <c r="E95" s="5" t="n">
        <v>3</v>
      </c>
      <c r="F95" s="5" t="s">
        <v>399</v>
      </c>
      <c r="G95" s="6" t="s">
        <v>121</v>
      </c>
      <c r="H95" s="5"/>
      <c r="I95" s="5" t="s">
        <v>647</v>
      </c>
    </row>
    <row r="96" customFormat="false" ht="52.2" hidden="false" customHeight="false" outlineLevel="0" collapsed="false">
      <c r="A96" s="6" t="s">
        <v>648</v>
      </c>
      <c r="B96" s="5" t="s">
        <v>217</v>
      </c>
      <c r="C96" s="5" t="s">
        <v>649</v>
      </c>
      <c r="D96" s="5" t="s">
        <v>578</v>
      </c>
      <c r="E96" s="5" t="n">
        <v>4</v>
      </c>
      <c r="F96" s="5" t="s">
        <v>399</v>
      </c>
      <c r="G96" s="6" t="s">
        <v>121</v>
      </c>
      <c r="H96" s="5"/>
      <c r="I96" s="5" t="s">
        <v>650</v>
      </c>
    </row>
    <row r="97" customFormat="false" ht="52.2" hidden="false" customHeight="false" outlineLevel="0" collapsed="false">
      <c r="A97" s="6" t="s">
        <v>651</v>
      </c>
      <c r="B97" s="5" t="s">
        <v>456</v>
      </c>
      <c r="C97" s="5" t="s">
        <v>652</v>
      </c>
      <c r="D97" s="5" t="s">
        <v>578</v>
      </c>
      <c r="E97" s="5" t="n">
        <v>0</v>
      </c>
      <c r="F97" s="5" t="s">
        <v>399</v>
      </c>
      <c r="G97" s="6" t="s">
        <v>37</v>
      </c>
      <c r="H97" s="5"/>
      <c r="I97" s="5" t="s">
        <v>653</v>
      </c>
    </row>
    <row r="98" customFormat="false" ht="64.9" hidden="false" customHeight="false" outlineLevel="0" collapsed="false">
      <c r="A98" s="6" t="s">
        <v>654</v>
      </c>
      <c r="B98" s="5" t="s">
        <v>456</v>
      </c>
      <c r="C98" s="5" t="s">
        <v>655</v>
      </c>
      <c r="D98" s="5" t="s">
        <v>578</v>
      </c>
      <c r="E98" s="5" t="n">
        <v>1</v>
      </c>
      <c r="F98" s="5" t="s">
        <v>399</v>
      </c>
      <c r="G98" s="6" t="s">
        <v>121</v>
      </c>
      <c r="H98" s="5"/>
      <c r="I98" s="5" t="s">
        <v>656</v>
      </c>
    </row>
    <row r="99" customFormat="false" ht="39.55" hidden="false" customHeight="false" outlineLevel="0" collapsed="false">
      <c r="A99" s="6" t="s">
        <v>657</v>
      </c>
      <c r="B99" s="5" t="s">
        <v>456</v>
      </c>
      <c r="C99" s="5" t="s">
        <v>658</v>
      </c>
      <c r="D99" s="5" t="s">
        <v>578</v>
      </c>
      <c r="E99" s="5" t="n">
        <v>2</v>
      </c>
      <c r="F99" s="5" t="s">
        <v>399</v>
      </c>
      <c r="G99" s="6" t="s">
        <v>121</v>
      </c>
      <c r="H99" s="5"/>
      <c r="I99" s="5" t="s">
        <v>659</v>
      </c>
    </row>
    <row r="100" customFormat="false" ht="39.55" hidden="false" customHeight="false" outlineLevel="0" collapsed="false">
      <c r="A100" s="6" t="s">
        <v>660</v>
      </c>
      <c r="B100" s="5" t="s">
        <v>456</v>
      </c>
      <c r="C100" s="5" t="s">
        <v>661</v>
      </c>
      <c r="D100" s="5" t="s">
        <v>578</v>
      </c>
      <c r="E100" s="5" t="n">
        <v>3</v>
      </c>
      <c r="F100" s="5" t="s">
        <v>399</v>
      </c>
      <c r="G100" s="6" t="s">
        <v>121</v>
      </c>
      <c r="H100" s="5"/>
      <c r="I100" s="5" t="s">
        <v>662</v>
      </c>
    </row>
    <row r="101" customFormat="false" ht="26.85" hidden="false" customHeight="false" outlineLevel="0" collapsed="false">
      <c r="A101" s="6" t="s">
        <v>663</v>
      </c>
      <c r="B101" s="5" t="s">
        <v>193</v>
      </c>
      <c r="C101" s="5" t="s">
        <v>194</v>
      </c>
      <c r="D101" s="5" t="s">
        <v>578</v>
      </c>
      <c r="E101" s="5" t="n">
        <v>4</v>
      </c>
      <c r="F101" s="19" t="s">
        <v>470</v>
      </c>
      <c r="G101" s="6" t="s">
        <v>121</v>
      </c>
      <c r="H101" s="6" t="s">
        <v>196</v>
      </c>
      <c r="I101" s="5" t="s">
        <v>664</v>
      </c>
    </row>
    <row r="102" customFormat="false" ht="50.7" hidden="false" customHeight="false" outlineLevel="0" collapsed="false">
      <c r="A102" s="6" t="s">
        <v>665</v>
      </c>
      <c r="B102" s="5" t="s">
        <v>467</v>
      </c>
      <c r="C102" s="5" t="s">
        <v>666</v>
      </c>
      <c r="D102" s="5" t="s">
        <v>578</v>
      </c>
      <c r="E102" s="5" t="n">
        <v>0</v>
      </c>
      <c r="F102" s="5" t="s">
        <v>399</v>
      </c>
      <c r="G102" s="6" t="s">
        <v>37</v>
      </c>
      <c r="H102" s="5"/>
      <c r="I102" s="6" t="s">
        <v>667</v>
      </c>
    </row>
    <row r="103" customFormat="false" ht="39.55" hidden="false" customHeight="false" outlineLevel="0" collapsed="false">
      <c r="A103" s="6" t="s">
        <v>668</v>
      </c>
      <c r="B103" s="5" t="s">
        <v>467</v>
      </c>
      <c r="C103" s="5" t="s">
        <v>669</v>
      </c>
      <c r="D103" s="5" t="s">
        <v>578</v>
      </c>
      <c r="E103" s="5" t="n">
        <v>1</v>
      </c>
      <c r="F103" s="5" t="s">
        <v>399</v>
      </c>
      <c r="G103" s="6" t="s">
        <v>121</v>
      </c>
      <c r="H103" s="5"/>
      <c r="I103" s="6" t="s">
        <v>670</v>
      </c>
    </row>
    <row r="104" customFormat="false" ht="52.2" hidden="false" customHeight="false" outlineLevel="0" collapsed="false">
      <c r="A104" s="6" t="s">
        <v>671</v>
      </c>
      <c r="B104" s="5" t="s">
        <v>467</v>
      </c>
      <c r="C104" s="5" t="s">
        <v>672</v>
      </c>
      <c r="D104" s="5" t="s">
        <v>578</v>
      </c>
      <c r="E104" s="5" t="n">
        <v>2</v>
      </c>
      <c r="F104" s="5" t="s">
        <v>399</v>
      </c>
      <c r="G104" s="6" t="s">
        <v>121</v>
      </c>
      <c r="H104" s="5"/>
      <c r="I104" s="6" t="s">
        <v>673</v>
      </c>
    </row>
    <row r="105" customFormat="false" ht="26.85" hidden="false" customHeight="false" outlineLevel="0" collapsed="false">
      <c r="A105" s="6" t="s">
        <v>674</v>
      </c>
      <c r="B105" s="5" t="s">
        <v>467</v>
      </c>
      <c r="C105" s="5" t="s">
        <v>675</v>
      </c>
      <c r="D105" s="5" t="s">
        <v>578</v>
      </c>
      <c r="E105" s="5" t="n">
        <v>3</v>
      </c>
      <c r="F105" s="5" t="s">
        <v>399</v>
      </c>
      <c r="G105" s="6" t="s">
        <v>121</v>
      </c>
      <c r="H105" s="5"/>
      <c r="I105" s="6" t="s">
        <v>676</v>
      </c>
    </row>
    <row r="106" customFormat="false" ht="52.2" hidden="false" customHeight="false" outlineLevel="0" collapsed="false">
      <c r="A106" s="6" t="s">
        <v>677</v>
      </c>
      <c r="B106" s="5" t="s">
        <v>467</v>
      </c>
      <c r="C106" s="5" t="s">
        <v>678</v>
      </c>
      <c r="D106" s="5" t="s">
        <v>578</v>
      </c>
      <c r="E106" s="5" t="n">
        <v>4</v>
      </c>
      <c r="F106" s="5" t="s">
        <v>399</v>
      </c>
      <c r="G106" s="6" t="s">
        <v>121</v>
      </c>
      <c r="H106" s="5"/>
      <c r="I106" s="6" t="s">
        <v>679</v>
      </c>
    </row>
    <row r="107" customFormat="false" ht="26.85" hidden="false" customHeight="false" outlineLevel="0" collapsed="false">
      <c r="A107" s="6" t="s">
        <v>680</v>
      </c>
      <c r="B107" s="5" t="s">
        <v>467</v>
      </c>
      <c r="C107" s="5" t="s">
        <v>681</v>
      </c>
      <c r="D107" s="5" t="s">
        <v>578</v>
      </c>
      <c r="E107" s="5" t="n">
        <v>0</v>
      </c>
      <c r="F107" s="5" t="s">
        <v>399</v>
      </c>
      <c r="G107" s="6" t="s">
        <v>37</v>
      </c>
      <c r="H107" s="5"/>
      <c r="I107" s="6" t="s">
        <v>682</v>
      </c>
    </row>
    <row r="108" customFormat="false" ht="26.85" hidden="false" customHeight="false" outlineLevel="0" collapsed="false">
      <c r="A108" s="6" t="s">
        <v>683</v>
      </c>
      <c r="B108" s="5" t="s">
        <v>467</v>
      </c>
      <c r="C108" s="5" t="s">
        <v>684</v>
      </c>
      <c r="D108" s="5" t="s">
        <v>578</v>
      </c>
      <c r="E108" s="5" t="n">
        <v>1</v>
      </c>
      <c r="F108" s="5" t="s">
        <v>399</v>
      </c>
      <c r="G108" s="6" t="s">
        <v>121</v>
      </c>
      <c r="H108" s="5"/>
      <c r="I108" s="6" t="s">
        <v>685</v>
      </c>
    </row>
    <row r="109" customFormat="false" ht="39.55" hidden="false" customHeight="false" outlineLevel="0" collapsed="false">
      <c r="A109" s="6" t="s">
        <v>686</v>
      </c>
      <c r="B109" s="5" t="s">
        <v>198</v>
      </c>
      <c r="C109" s="5" t="s">
        <v>687</v>
      </c>
      <c r="D109" s="5" t="s">
        <v>578</v>
      </c>
      <c r="E109" s="5" t="n">
        <v>2</v>
      </c>
      <c r="F109" s="5" t="s">
        <v>399</v>
      </c>
      <c r="G109" s="6" t="s">
        <v>121</v>
      </c>
      <c r="H109" s="5"/>
      <c r="I109" s="5" t="s">
        <v>688</v>
      </c>
    </row>
    <row r="110" customFormat="false" ht="39.55" hidden="false" customHeight="false" outlineLevel="0" collapsed="false">
      <c r="A110" s="6" t="s">
        <v>689</v>
      </c>
      <c r="B110" s="5" t="s">
        <v>198</v>
      </c>
      <c r="C110" s="5" t="s">
        <v>690</v>
      </c>
      <c r="D110" s="5" t="s">
        <v>578</v>
      </c>
      <c r="E110" s="5" t="n">
        <v>3</v>
      </c>
      <c r="F110" s="5" t="s">
        <v>399</v>
      </c>
      <c r="G110" s="6" t="s">
        <v>121</v>
      </c>
      <c r="H110" s="5"/>
      <c r="I110" s="5" t="s">
        <v>691</v>
      </c>
    </row>
    <row r="111" customFormat="false" ht="26.85" hidden="false" customHeight="false" outlineLevel="0" collapsed="false">
      <c r="A111" s="6" t="s">
        <v>692</v>
      </c>
      <c r="B111" s="5" t="s">
        <v>198</v>
      </c>
      <c r="C111" s="5" t="s">
        <v>693</v>
      </c>
      <c r="D111" s="5" t="s">
        <v>578</v>
      </c>
      <c r="E111" s="5" t="n">
        <v>4</v>
      </c>
      <c r="F111" s="5" t="s">
        <v>399</v>
      </c>
      <c r="G111" s="6" t="s">
        <v>121</v>
      </c>
      <c r="H111" s="5"/>
      <c r="I111" s="5" t="s">
        <v>694</v>
      </c>
    </row>
    <row r="112" customFormat="false" ht="39.55" hidden="false" customHeight="false" outlineLevel="0" collapsed="false">
      <c r="A112" s="6" t="s">
        <v>695</v>
      </c>
      <c r="B112" s="5" t="s">
        <v>198</v>
      </c>
      <c r="C112" s="5" t="s">
        <v>696</v>
      </c>
      <c r="D112" s="5" t="s">
        <v>578</v>
      </c>
      <c r="E112" s="5" t="n">
        <v>0</v>
      </c>
      <c r="F112" s="5" t="s">
        <v>399</v>
      </c>
      <c r="G112" s="6" t="s">
        <v>37</v>
      </c>
      <c r="H112" s="5"/>
      <c r="I112" s="5" t="s">
        <v>697</v>
      </c>
    </row>
    <row r="113" customFormat="false" ht="26.85" hidden="false" customHeight="false" outlineLevel="0" collapsed="false">
      <c r="A113" s="6" t="s">
        <v>698</v>
      </c>
      <c r="B113" s="5" t="s">
        <v>473</v>
      </c>
      <c r="C113" s="5" t="s">
        <v>699</v>
      </c>
      <c r="D113" s="5" t="s">
        <v>578</v>
      </c>
      <c r="E113" s="5" t="n">
        <v>1</v>
      </c>
      <c r="F113" s="5" t="s">
        <v>399</v>
      </c>
      <c r="G113" s="6" t="s">
        <v>121</v>
      </c>
      <c r="H113" s="5"/>
      <c r="I113" s="5" t="s">
        <v>700</v>
      </c>
    </row>
    <row r="114" customFormat="false" ht="26.85" hidden="false" customHeight="false" outlineLevel="0" collapsed="false">
      <c r="A114" s="6" t="s">
        <v>701</v>
      </c>
      <c r="B114" s="5" t="s">
        <v>476</v>
      </c>
      <c r="C114" s="5" t="s">
        <v>702</v>
      </c>
      <c r="D114" s="5" t="s">
        <v>578</v>
      </c>
      <c r="E114" s="5" t="n">
        <v>2</v>
      </c>
      <c r="F114" s="5" t="s">
        <v>399</v>
      </c>
      <c r="G114" s="6" t="s">
        <v>121</v>
      </c>
      <c r="H114" s="5"/>
      <c r="I114" s="5" t="s">
        <v>703</v>
      </c>
    </row>
    <row r="115" customFormat="false" ht="15" hidden="false" customHeight="false" outlineLevel="0" collapsed="false">
      <c r="A115" s="6" t="s">
        <v>704</v>
      </c>
      <c r="B115" s="5" t="s">
        <v>231</v>
      </c>
      <c r="C115" s="5" t="s">
        <v>232</v>
      </c>
      <c r="D115" s="5" t="s">
        <v>578</v>
      </c>
      <c r="E115" s="5" t="n">
        <v>3</v>
      </c>
      <c r="F115" s="19" t="s">
        <v>470</v>
      </c>
      <c r="G115" s="6" t="s">
        <v>121</v>
      </c>
      <c r="H115" s="6" t="s">
        <v>237</v>
      </c>
      <c r="I115" s="5"/>
    </row>
    <row r="116" customFormat="false" ht="26.85" hidden="false" customHeight="false" outlineLevel="0" collapsed="false">
      <c r="A116" s="6" t="s">
        <v>705</v>
      </c>
      <c r="B116" s="5" t="s">
        <v>481</v>
      </c>
      <c r="C116" s="5" t="s">
        <v>706</v>
      </c>
      <c r="D116" s="5" t="s">
        <v>578</v>
      </c>
      <c r="E116" s="5" t="n">
        <v>4</v>
      </c>
      <c r="F116" s="5" t="s">
        <v>399</v>
      </c>
      <c r="G116" s="6" t="s">
        <v>121</v>
      </c>
      <c r="H116" s="5"/>
      <c r="I116" s="5" t="s">
        <v>707</v>
      </c>
    </row>
    <row r="117" customFormat="false" ht="26.85" hidden="false" customHeight="false" outlineLevel="0" collapsed="false">
      <c r="A117" s="6" t="s">
        <v>708</v>
      </c>
      <c r="B117" s="5" t="s">
        <v>484</v>
      </c>
      <c r="C117" s="5" t="s">
        <v>709</v>
      </c>
      <c r="D117" s="5" t="s">
        <v>578</v>
      </c>
      <c r="E117" s="5" t="n">
        <v>0</v>
      </c>
      <c r="F117" s="5" t="s">
        <v>399</v>
      </c>
      <c r="G117" s="6" t="s">
        <v>37</v>
      </c>
      <c r="H117" s="5"/>
      <c r="I117" s="5" t="s">
        <v>710</v>
      </c>
    </row>
    <row r="118" customFormat="false" ht="23.85" hidden="false" customHeight="false" outlineLevel="0" collapsed="false">
      <c r="A118" s="6" t="s">
        <v>711</v>
      </c>
      <c r="B118" s="5" t="s">
        <v>209</v>
      </c>
      <c r="C118" s="5" t="s">
        <v>210</v>
      </c>
      <c r="D118" s="5" t="s">
        <v>578</v>
      </c>
      <c r="E118" s="5" t="n">
        <v>1</v>
      </c>
      <c r="F118" s="19" t="s">
        <v>470</v>
      </c>
      <c r="G118" s="6" t="s">
        <v>121</v>
      </c>
      <c r="H118" s="6" t="s">
        <v>215</v>
      </c>
      <c r="I118" s="5" t="s">
        <v>712</v>
      </c>
    </row>
    <row r="119" customFormat="false" ht="26.85" hidden="false" customHeight="false" outlineLevel="0" collapsed="false">
      <c r="A119" s="6" t="s">
        <v>713</v>
      </c>
      <c r="B119" s="5" t="s">
        <v>209</v>
      </c>
      <c r="C119" s="5" t="s">
        <v>714</v>
      </c>
      <c r="D119" s="5" t="s">
        <v>578</v>
      </c>
      <c r="E119" s="5" t="n">
        <v>2</v>
      </c>
      <c r="F119" s="5" t="s">
        <v>399</v>
      </c>
      <c r="G119" s="6" t="s">
        <v>121</v>
      </c>
      <c r="H119" s="5"/>
      <c r="I119" s="5" t="s">
        <v>715</v>
      </c>
    </row>
    <row r="120" customFormat="false" ht="26.85" hidden="false" customHeight="false" outlineLevel="0" collapsed="false">
      <c r="A120" s="6" t="s">
        <v>716</v>
      </c>
      <c r="B120" s="5" t="s">
        <v>489</v>
      </c>
      <c r="C120" s="5" t="s">
        <v>717</v>
      </c>
      <c r="D120" s="5" t="s">
        <v>578</v>
      </c>
      <c r="E120" s="5" t="n">
        <v>3</v>
      </c>
      <c r="F120" s="5" t="s">
        <v>399</v>
      </c>
      <c r="G120" s="6" t="s">
        <v>121</v>
      </c>
      <c r="H120" s="5"/>
      <c r="I120" s="5" t="s">
        <v>718</v>
      </c>
    </row>
    <row r="121" customFormat="false" ht="26.85" hidden="false" customHeight="false" outlineLevel="0" collapsed="false">
      <c r="A121" s="6" t="s">
        <v>719</v>
      </c>
      <c r="B121" s="5" t="s">
        <v>492</v>
      </c>
      <c r="C121" s="5" t="s">
        <v>720</v>
      </c>
      <c r="D121" s="5" t="s">
        <v>578</v>
      </c>
      <c r="E121" s="5" t="n">
        <v>4</v>
      </c>
      <c r="F121" s="5" t="s">
        <v>399</v>
      </c>
      <c r="G121" s="6" t="s">
        <v>121</v>
      </c>
      <c r="H121" s="5"/>
      <c r="I121" s="5" t="s">
        <v>710</v>
      </c>
    </row>
    <row r="122" customFormat="false" ht="26.85" hidden="false" customHeight="false" outlineLevel="0" collapsed="false">
      <c r="A122" s="6" t="s">
        <v>721</v>
      </c>
      <c r="B122" s="5" t="s">
        <v>495</v>
      </c>
      <c r="C122" s="5" t="s">
        <v>722</v>
      </c>
      <c r="D122" s="5" t="s">
        <v>578</v>
      </c>
      <c r="E122" s="5" t="n">
        <v>0</v>
      </c>
      <c r="F122" s="5" t="s">
        <v>399</v>
      </c>
      <c r="G122" s="6" t="s">
        <v>37</v>
      </c>
      <c r="H122" s="5"/>
      <c r="I122" s="5" t="s">
        <v>710</v>
      </c>
    </row>
    <row r="123" customFormat="false" ht="26.85" hidden="false" customHeight="false" outlineLevel="0" collapsed="false">
      <c r="A123" s="6" t="s">
        <v>723</v>
      </c>
      <c r="B123" s="5" t="s">
        <v>498</v>
      </c>
      <c r="C123" s="5" t="s">
        <v>724</v>
      </c>
      <c r="D123" s="5" t="s">
        <v>578</v>
      </c>
      <c r="E123" s="5" t="n">
        <v>1</v>
      </c>
      <c r="F123" s="5" t="s">
        <v>399</v>
      </c>
      <c r="G123" s="6" t="s">
        <v>121</v>
      </c>
      <c r="H123" s="5"/>
      <c r="I123" s="5" t="s">
        <v>725</v>
      </c>
    </row>
    <row r="124" customFormat="false" ht="15" hidden="false" customHeight="false" outlineLevel="0" collapsed="false">
      <c r="A124" s="6" t="s">
        <v>726</v>
      </c>
      <c r="B124" s="5" t="s">
        <v>501</v>
      </c>
      <c r="C124" s="5" t="s">
        <v>727</v>
      </c>
      <c r="D124" s="5" t="s">
        <v>578</v>
      </c>
      <c r="E124" s="5" t="n">
        <v>2</v>
      </c>
      <c r="F124" s="5" t="s">
        <v>399</v>
      </c>
      <c r="G124" s="6" t="s">
        <v>121</v>
      </c>
      <c r="H124" s="5"/>
      <c r="I124" s="5" t="s">
        <v>570</v>
      </c>
    </row>
    <row r="125" customFormat="false" ht="26.85" hidden="false" customHeight="false" outlineLevel="0" collapsed="false">
      <c r="A125" s="6" t="s">
        <v>728</v>
      </c>
      <c r="B125" s="5" t="s">
        <v>507</v>
      </c>
      <c r="C125" s="5" t="s">
        <v>729</v>
      </c>
      <c r="D125" s="5" t="s">
        <v>578</v>
      </c>
      <c r="E125" s="5" t="n">
        <v>3</v>
      </c>
      <c r="F125" s="5" t="s">
        <v>399</v>
      </c>
      <c r="G125" s="6" t="s">
        <v>121</v>
      </c>
      <c r="H125" s="5"/>
      <c r="I125" s="5" t="s">
        <v>730</v>
      </c>
    </row>
    <row r="126" customFormat="false" ht="26.85" hidden="false" customHeight="false" outlineLevel="0" collapsed="false">
      <c r="A126" s="6" t="s">
        <v>731</v>
      </c>
      <c r="B126" s="5" t="s">
        <v>507</v>
      </c>
      <c r="C126" s="5" t="s">
        <v>732</v>
      </c>
      <c r="D126" s="5" t="s">
        <v>578</v>
      </c>
      <c r="E126" s="5" t="n">
        <v>4</v>
      </c>
      <c r="F126" s="5" t="s">
        <v>399</v>
      </c>
      <c r="G126" s="6" t="s">
        <v>121</v>
      </c>
      <c r="H126" s="5"/>
      <c r="I126" s="5" t="s">
        <v>733</v>
      </c>
    </row>
    <row r="127" customFormat="false" ht="26.85" hidden="false" customHeight="false" outlineLevel="0" collapsed="false">
      <c r="A127" s="6" t="s">
        <v>734</v>
      </c>
      <c r="B127" s="5" t="s">
        <v>239</v>
      </c>
      <c r="C127" s="5" t="s">
        <v>240</v>
      </c>
      <c r="D127" s="5" t="s">
        <v>578</v>
      </c>
      <c r="E127" s="5" t="n">
        <v>0</v>
      </c>
      <c r="F127" s="19" t="s">
        <v>470</v>
      </c>
      <c r="G127" s="6" t="s">
        <v>37</v>
      </c>
      <c r="H127" s="6" t="s">
        <v>62</v>
      </c>
      <c r="I127" s="5" t="s">
        <v>735</v>
      </c>
    </row>
    <row r="128" customFormat="false" ht="26.85" hidden="false" customHeight="false" outlineLevel="0" collapsed="false">
      <c r="A128" s="6" t="s">
        <v>736</v>
      </c>
      <c r="B128" s="5" t="s">
        <v>514</v>
      </c>
      <c r="C128" s="5" t="s">
        <v>737</v>
      </c>
      <c r="D128" s="5" t="s">
        <v>578</v>
      </c>
      <c r="E128" s="5" t="n">
        <v>1</v>
      </c>
      <c r="F128" s="5" t="s">
        <v>399</v>
      </c>
      <c r="G128" s="6" t="s">
        <v>121</v>
      </c>
      <c r="H128" s="5"/>
      <c r="I128" s="5" t="s">
        <v>738</v>
      </c>
    </row>
    <row r="129" customFormat="false" ht="15" hidden="false" customHeight="false" outlineLevel="0" collapsed="false">
      <c r="A129" s="6" t="s">
        <v>739</v>
      </c>
      <c r="B129" s="5" t="s">
        <v>517</v>
      </c>
      <c r="C129" s="5" t="s">
        <v>740</v>
      </c>
      <c r="D129" s="5" t="s">
        <v>578</v>
      </c>
      <c r="E129" s="5" t="n">
        <v>2</v>
      </c>
      <c r="F129" s="5" t="s">
        <v>399</v>
      </c>
      <c r="G129" s="6" t="s">
        <v>121</v>
      </c>
      <c r="H129" s="5"/>
      <c r="I129" s="5" t="s">
        <v>570</v>
      </c>
    </row>
    <row r="130" customFormat="false" ht="15" hidden="false" customHeight="false" outlineLevel="0" collapsed="false">
      <c r="A130" s="6" t="s">
        <v>741</v>
      </c>
      <c r="B130" s="5" t="s">
        <v>520</v>
      </c>
      <c r="C130" s="5" t="s">
        <v>742</v>
      </c>
      <c r="D130" s="5" t="s">
        <v>578</v>
      </c>
      <c r="E130" s="5" t="n">
        <v>3</v>
      </c>
      <c r="F130" s="5" t="s">
        <v>399</v>
      </c>
      <c r="G130" s="6" t="s">
        <v>121</v>
      </c>
      <c r="H130" s="5"/>
      <c r="I130" s="5" t="s">
        <v>570</v>
      </c>
    </row>
    <row r="131" customFormat="false" ht="39.55" hidden="false" customHeight="false" outlineLevel="0" collapsed="false">
      <c r="A131" s="6" t="s">
        <v>743</v>
      </c>
      <c r="B131" s="5" t="s">
        <v>416</v>
      </c>
      <c r="C131" s="5" t="s">
        <v>744</v>
      </c>
      <c r="D131" s="5" t="s">
        <v>745</v>
      </c>
      <c r="E131" s="5" t="n">
        <v>4</v>
      </c>
      <c r="F131" s="5" t="s">
        <v>399</v>
      </c>
      <c r="G131" s="6" t="s">
        <v>121</v>
      </c>
      <c r="H131" s="5"/>
      <c r="I131" s="5" t="s">
        <v>746</v>
      </c>
    </row>
    <row r="132" customFormat="false" ht="26.85" hidden="false" customHeight="false" outlineLevel="0" collapsed="false">
      <c r="A132" s="6" t="s">
        <v>747</v>
      </c>
      <c r="B132" s="5" t="s">
        <v>181</v>
      </c>
      <c r="C132" s="5" t="s">
        <v>748</v>
      </c>
      <c r="D132" s="5" t="s">
        <v>745</v>
      </c>
      <c r="E132" s="5" t="n">
        <v>0</v>
      </c>
      <c r="F132" s="5" t="s">
        <v>399</v>
      </c>
      <c r="G132" s="6" t="s">
        <v>37</v>
      </c>
      <c r="H132" s="5"/>
      <c r="I132" s="5" t="s">
        <v>749</v>
      </c>
    </row>
    <row r="133" customFormat="false" ht="15" hidden="false" customHeight="false" outlineLevel="0" collapsed="false">
      <c r="A133" s="6" t="s">
        <v>750</v>
      </c>
      <c r="B133" s="5" t="s">
        <v>181</v>
      </c>
      <c r="C133" s="5" t="s">
        <v>263</v>
      </c>
      <c r="D133" s="5" t="s">
        <v>745</v>
      </c>
      <c r="E133" s="5" t="n">
        <v>1</v>
      </c>
      <c r="F133" s="19" t="s">
        <v>470</v>
      </c>
      <c r="G133" s="6" t="s">
        <v>121</v>
      </c>
      <c r="H133" s="6" t="s">
        <v>268</v>
      </c>
      <c r="I133" s="6" t="s">
        <v>751</v>
      </c>
    </row>
    <row r="134" customFormat="false" ht="39.55" hidden="false" customHeight="false" outlineLevel="0" collapsed="false">
      <c r="A134" s="6" t="s">
        <v>752</v>
      </c>
      <c r="B134" s="5" t="s">
        <v>188</v>
      </c>
      <c r="C134" s="5" t="s">
        <v>753</v>
      </c>
      <c r="D134" s="5" t="s">
        <v>745</v>
      </c>
      <c r="E134" s="5" t="n">
        <v>2</v>
      </c>
      <c r="F134" s="5" t="s">
        <v>399</v>
      </c>
      <c r="G134" s="6" t="s">
        <v>121</v>
      </c>
      <c r="H134" s="5"/>
      <c r="I134" s="5" t="s">
        <v>754</v>
      </c>
    </row>
    <row r="135" customFormat="false" ht="23.85" hidden="false" customHeight="false" outlineLevel="0" collapsed="false">
      <c r="A135" s="6" t="s">
        <v>755</v>
      </c>
      <c r="B135" s="5" t="s">
        <v>188</v>
      </c>
      <c r="C135" s="5" t="s">
        <v>270</v>
      </c>
      <c r="D135" s="5" t="s">
        <v>745</v>
      </c>
      <c r="E135" s="5" t="n">
        <v>3</v>
      </c>
      <c r="F135" s="19" t="s">
        <v>470</v>
      </c>
      <c r="G135" s="6" t="s">
        <v>121</v>
      </c>
      <c r="H135" s="6" t="s">
        <v>275</v>
      </c>
      <c r="I135" s="6" t="s">
        <v>751</v>
      </c>
    </row>
    <row r="136" customFormat="false" ht="26.85" hidden="false" customHeight="false" outlineLevel="0" collapsed="false">
      <c r="A136" s="6" t="s">
        <v>756</v>
      </c>
      <c r="B136" s="5" t="s">
        <v>188</v>
      </c>
      <c r="C136" s="5" t="s">
        <v>757</v>
      </c>
      <c r="D136" s="5" t="s">
        <v>745</v>
      </c>
      <c r="E136" s="5" t="n">
        <v>4</v>
      </c>
      <c r="F136" s="5" t="s">
        <v>399</v>
      </c>
      <c r="G136" s="6" t="s">
        <v>121</v>
      </c>
      <c r="H136" s="5"/>
      <c r="I136" s="5" t="s">
        <v>758</v>
      </c>
    </row>
    <row r="137" customFormat="false" ht="15" hidden="false" customHeight="false" outlineLevel="0" collapsed="false">
      <c r="A137" s="6" t="s">
        <v>759</v>
      </c>
      <c r="B137" s="5" t="s">
        <v>188</v>
      </c>
      <c r="C137" s="5" t="s">
        <v>760</v>
      </c>
      <c r="D137" s="5" t="s">
        <v>745</v>
      </c>
      <c r="E137" s="5" t="n">
        <v>0</v>
      </c>
      <c r="F137" s="5" t="s">
        <v>399</v>
      </c>
      <c r="G137" s="6" t="s">
        <v>37</v>
      </c>
      <c r="H137" s="5"/>
      <c r="I137" s="5" t="s">
        <v>611</v>
      </c>
    </row>
    <row r="138" customFormat="false" ht="39.55" hidden="false" customHeight="false" outlineLevel="0" collapsed="false">
      <c r="A138" s="6" t="s">
        <v>761</v>
      </c>
      <c r="B138" s="5" t="s">
        <v>431</v>
      </c>
      <c r="C138" s="5" t="s">
        <v>762</v>
      </c>
      <c r="D138" s="5" t="s">
        <v>745</v>
      </c>
      <c r="E138" s="5" t="n">
        <v>1</v>
      </c>
      <c r="F138" s="5" t="s">
        <v>399</v>
      </c>
      <c r="G138" s="6" t="s">
        <v>121</v>
      </c>
      <c r="H138" s="5"/>
      <c r="I138" s="5" t="s">
        <v>763</v>
      </c>
    </row>
    <row r="139" customFormat="false" ht="39.55" hidden="false" customHeight="false" outlineLevel="0" collapsed="false">
      <c r="A139" s="6" t="s">
        <v>764</v>
      </c>
      <c r="B139" s="5" t="s">
        <v>431</v>
      </c>
      <c r="C139" s="5" t="s">
        <v>765</v>
      </c>
      <c r="D139" s="5" t="s">
        <v>745</v>
      </c>
      <c r="E139" s="5" t="n">
        <v>2</v>
      </c>
      <c r="F139" s="5" t="s">
        <v>399</v>
      </c>
      <c r="G139" s="6" t="s">
        <v>121</v>
      </c>
      <c r="H139" s="5"/>
      <c r="I139" s="5" t="s">
        <v>766</v>
      </c>
    </row>
    <row r="140" customFormat="false" ht="39.55" hidden="false" customHeight="false" outlineLevel="0" collapsed="false">
      <c r="A140" s="6" t="s">
        <v>767</v>
      </c>
      <c r="B140" s="5" t="s">
        <v>431</v>
      </c>
      <c r="C140" s="5" t="s">
        <v>768</v>
      </c>
      <c r="D140" s="5" t="s">
        <v>745</v>
      </c>
      <c r="E140" s="5" t="n">
        <v>3</v>
      </c>
      <c r="F140" s="5" t="s">
        <v>399</v>
      </c>
      <c r="G140" s="6" t="s">
        <v>121</v>
      </c>
      <c r="H140" s="5"/>
      <c r="I140" s="5" t="s">
        <v>769</v>
      </c>
    </row>
    <row r="141" customFormat="false" ht="52.2" hidden="false" customHeight="false" outlineLevel="0" collapsed="false">
      <c r="A141" s="6" t="s">
        <v>770</v>
      </c>
      <c r="B141" s="5" t="s">
        <v>431</v>
      </c>
      <c r="C141" s="5" t="s">
        <v>771</v>
      </c>
      <c r="D141" s="5" t="s">
        <v>745</v>
      </c>
      <c r="E141" s="5" t="n">
        <v>4</v>
      </c>
      <c r="F141" s="5" t="s">
        <v>399</v>
      </c>
      <c r="G141" s="6" t="s">
        <v>121</v>
      </c>
      <c r="H141" s="5"/>
      <c r="I141" s="5" t="s">
        <v>772</v>
      </c>
    </row>
    <row r="142" customFormat="false" ht="39.55" hidden="false" customHeight="false" outlineLevel="0" collapsed="false">
      <c r="A142" s="6" t="s">
        <v>773</v>
      </c>
      <c r="B142" s="5" t="s">
        <v>431</v>
      </c>
      <c r="C142" s="5" t="s">
        <v>774</v>
      </c>
      <c r="D142" s="5" t="s">
        <v>745</v>
      </c>
      <c r="E142" s="5" t="n">
        <v>0</v>
      </c>
      <c r="F142" s="5" t="s">
        <v>399</v>
      </c>
      <c r="G142" s="6" t="s">
        <v>37</v>
      </c>
      <c r="H142" s="5"/>
      <c r="I142" s="5" t="s">
        <v>775</v>
      </c>
    </row>
    <row r="143" customFormat="false" ht="39.55" hidden="false" customHeight="false" outlineLevel="0" collapsed="false">
      <c r="A143" s="6" t="s">
        <v>776</v>
      </c>
      <c r="B143" s="5" t="s">
        <v>434</v>
      </c>
      <c r="C143" s="5" t="s">
        <v>777</v>
      </c>
      <c r="D143" s="5" t="s">
        <v>745</v>
      </c>
      <c r="E143" s="5" t="n">
        <v>1</v>
      </c>
      <c r="F143" s="5" t="s">
        <v>399</v>
      </c>
      <c r="G143" s="6" t="s">
        <v>121</v>
      </c>
      <c r="H143" s="5"/>
      <c r="I143" s="5" t="s">
        <v>778</v>
      </c>
    </row>
    <row r="144" customFormat="false" ht="52.2" hidden="false" customHeight="false" outlineLevel="0" collapsed="false">
      <c r="A144" s="6" t="s">
        <v>779</v>
      </c>
      <c r="B144" s="5" t="s">
        <v>434</v>
      </c>
      <c r="C144" s="5" t="s">
        <v>780</v>
      </c>
      <c r="D144" s="5" t="s">
        <v>745</v>
      </c>
      <c r="E144" s="5" t="n">
        <v>2</v>
      </c>
      <c r="F144" s="5" t="s">
        <v>399</v>
      </c>
      <c r="G144" s="6" t="s">
        <v>121</v>
      </c>
      <c r="H144" s="5"/>
      <c r="I144" s="5" t="s">
        <v>781</v>
      </c>
    </row>
    <row r="145" customFormat="false" ht="26.85" hidden="false" customHeight="false" outlineLevel="0" collapsed="false">
      <c r="A145" s="6" t="s">
        <v>782</v>
      </c>
      <c r="B145" s="5" t="s">
        <v>157</v>
      </c>
      <c r="C145" s="5" t="s">
        <v>783</v>
      </c>
      <c r="D145" s="5" t="s">
        <v>745</v>
      </c>
      <c r="E145" s="5" t="n">
        <v>3</v>
      </c>
      <c r="F145" s="5" t="s">
        <v>399</v>
      </c>
      <c r="G145" s="6" t="s">
        <v>121</v>
      </c>
      <c r="H145" s="5"/>
      <c r="I145" s="5" t="s">
        <v>784</v>
      </c>
    </row>
    <row r="146" customFormat="false" ht="39.55" hidden="false" customHeight="false" outlineLevel="0" collapsed="false">
      <c r="A146" s="6" t="s">
        <v>785</v>
      </c>
      <c r="B146" s="5" t="s">
        <v>157</v>
      </c>
      <c r="C146" s="5" t="s">
        <v>786</v>
      </c>
      <c r="D146" s="5" t="s">
        <v>745</v>
      </c>
      <c r="E146" s="5" t="n">
        <v>4</v>
      </c>
      <c r="F146" s="5" t="s">
        <v>399</v>
      </c>
      <c r="G146" s="6" t="s">
        <v>121</v>
      </c>
      <c r="H146" s="5"/>
      <c r="I146" s="5" t="s">
        <v>787</v>
      </c>
    </row>
    <row r="147" customFormat="false" ht="39.55" hidden="false" customHeight="false" outlineLevel="0" collapsed="false">
      <c r="A147" s="6" t="s">
        <v>788</v>
      </c>
      <c r="B147" s="5" t="s">
        <v>456</v>
      </c>
      <c r="C147" s="5" t="s">
        <v>789</v>
      </c>
      <c r="D147" s="5" t="s">
        <v>745</v>
      </c>
      <c r="E147" s="5" t="n">
        <v>0</v>
      </c>
      <c r="F147" s="5" t="s">
        <v>399</v>
      </c>
      <c r="G147" s="6" t="s">
        <v>37</v>
      </c>
      <c r="H147" s="5"/>
      <c r="I147" s="5" t="s">
        <v>790</v>
      </c>
    </row>
    <row r="148" customFormat="false" ht="39.55" hidden="false" customHeight="false" outlineLevel="0" collapsed="false">
      <c r="A148" s="6" t="s">
        <v>791</v>
      </c>
      <c r="B148" s="5" t="s">
        <v>459</v>
      </c>
      <c r="C148" s="5" t="s">
        <v>792</v>
      </c>
      <c r="D148" s="5" t="s">
        <v>745</v>
      </c>
      <c r="E148" s="5" t="n">
        <v>1</v>
      </c>
      <c r="F148" s="5" t="s">
        <v>399</v>
      </c>
      <c r="G148" s="6" t="s">
        <v>121</v>
      </c>
      <c r="H148" s="5"/>
      <c r="I148" s="5" t="s">
        <v>793</v>
      </c>
    </row>
    <row r="149" customFormat="false" ht="52.2" hidden="false" customHeight="false" outlineLevel="0" collapsed="false">
      <c r="A149" s="6" t="s">
        <v>794</v>
      </c>
      <c r="B149" s="5" t="s">
        <v>467</v>
      </c>
      <c r="C149" s="5" t="s">
        <v>795</v>
      </c>
      <c r="D149" s="5" t="s">
        <v>745</v>
      </c>
      <c r="E149" s="5" t="n">
        <v>2</v>
      </c>
      <c r="F149" s="5" t="s">
        <v>399</v>
      </c>
      <c r="G149" s="6" t="s">
        <v>121</v>
      </c>
      <c r="H149" s="5"/>
      <c r="I149" s="6" t="s">
        <v>796</v>
      </c>
    </row>
    <row r="150" customFormat="false" ht="23.85" hidden="false" customHeight="false" outlineLevel="0" collapsed="false">
      <c r="A150" s="6" t="s">
        <v>797</v>
      </c>
      <c r="B150" s="5" t="s">
        <v>198</v>
      </c>
      <c r="C150" s="5" t="s">
        <v>199</v>
      </c>
      <c r="D150" s="5" t="s">
        <v>745</v>
      </c>
      <c r="E150" s="5" t="n">
        <v>3</v>
      </c>
      <c r="F150" s="19" t="s">
        <v>470</v>
      </c>
      <c r="G150" s="6" t="s">
        <v>121</v>
      </c>
      <c r="H150" s="6" t="s">
        <v>202</v>
      </c>
      <c r="I150" s="5" t="s">
        <v>798</v>
      </c>
    </row>
    <row r="151" customFormat="false" ht="26.85" hidden="false" customHeight="false" outlineLevel="0" collapsed="false">
      <c r="A151" s="6" t="s">
        <v>799</v>
      </c>
      <c r="B151" s="5" t="s">
        <v>198</v>
      </c>
      <c r="C151" s="5" t="s">
        <v>800</v>
      </c>
      <c r="D151" s="5" t="s">
        <v>745</v>
      </c>
      <c r="E151" s="5" t="n">
        <v>4</v>
      </c>
      <c r="F151" s="5" t="s">
        <v>399</v>
      </c>
      <c r="G151" s="6" t="s">
        <v>121</v>
      </c>
      <c r="H151" s="5"/>
      <c r="I151" s="5" t="s">
        <v>801</v>
      </c>
    </row>
    <row r="152" customFormat="false" ht="26.85" hidden="false" customHeight="false" outlineLevel="0" collapsed="false">
      <c r="A152" s="6" t="s">
        <v>802</v>
      </c>
      <c r="B152" s="5" t="s">
        <v>504</v>
      </c>
      <c r="C152" s="5" t="s">
        <v>803</v>
      </c>
      <c r="D152" s="5" t="s">
        <v>745</v>
      </c>
      <c r="E152" s="5" t="n">
        <v>0</v>
      </c>
      <c r="F152" s="5" t="s">
        <v>399</v>
      </c>
      <c r="G152" s="6" t="s">
        <v>37</v>
      </c>
      <c r="H152" s="5"/>
      <c r="I152" s="5" t="s">
        <v>804</v>
      </c>
    </row>
  </sheetData>
  <autoFilter ref="A1:I15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2026-08-24T06:43:20Z</dcterms:created>
  <dc:creator>openpyxl</dc:creator>
  <dc:description/>
  <dc:language>en-US</dc:language>
  <cp:lastModifiedBy/>
  <dcterms:modified xsi:type="dcterms:W3CDTF">2026-08-24T06:43:20Z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