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総合評価" sheetId="1" state="visible" r:id="rId1"/>
    <sheet name="広島県山県郡北広島町川小田10059-3" sheetId="2" state="visible" r:id="rId2"/>
    <sheet name="許認可チェックシート" sheetId="3" state="visible" r:id="rId3"/>
    <sheet name="輸送確認" sheetId="4" state="visible" r:id="rId4"/>
    <sheet name="系統接続確認"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color rgb="007F7F7F"/>
      <sz val="10"/>
    </font>
    <font>
      <b val="1"/>
      <color rgb="007F7F7F"/>
      <sz val="11"/>
    </font>
    <font>
      <b val="1"/>
      <sz val="11"/>
    </font>
    <font>
      <color rgb="007F7F7F"/>
      <sz val="11"/>
    </font>
    <font>
      <color rgb="001155CC"/>
      <sz val="10"/>
      <u val="single"/>
    </font>
    <font>
      <color rgb="009C6500"/>
      <sz val="11"/>
    </font>
    <font>
      <b val="1"/>
      <sz val="14"/>
    </font>
    <font>
      <sz val="10"/>
    </font>
    <font>
      <sz val="11"/>
    </font>
    <font>
      <b val="1"/>
      <sz val="12"/>
    </font>
    <font>
      <b val="1"/>
      <sz val="13"/>
    </font>
  </fonts>
  <fills count="8">
    <fill>
      <patternFill/>
    </fill>
    <fill>
      <patternFill patternType="gray125"/>
    </fill>
    <fill>
      <patternFill patternType="solid">
        <fgColor rgb="00F1EFE8"/>
      </patternFill>
    </fill>
    <fill>
      <patternFill patternType="solid">
        <fgColor rgb="00FCE4D6"/>
      </patternFill>
    </fill>
    <fill>
      <patternFill patternType="solid">
        <fgColor rgb="00E1F5EE"/>
      </patternFill>
    </fill>
    <fill>
      <patternFill patternType="solid">
        <fgColor rgb="00FFF2CC"/>
      </patternFill>
    </fill>
    <fill>
      <patternFill patternType="solid">
        <fgColor rgb="00FCE4EC"/>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9">
    <xf numFmtId="0" fontId="0" fillId="0" borderId="0" pivotButton="0" quotePrefix="0" xfId="0"/>
    <xf numFmtId="0" fontId="7" fillId="0" borderId="0" pivotButton="0" quotePrefix="0" xfId="0"/>
    <xf numFmtId="0" fontId="8" fillId="0" borderId="0" pivotButton="0" quotePrefix="0" xfId="0"/>
    <xf numFmtId="0" fontId="3" fillId="0" borderId="0" pivotButton="0" quotePrefix="0" xfId="0"/>
    <xf numFmtId="0" fontId="10" fillId="0" borderId="0" pivotButton="0" quotePrefix="0" xfId="0"/>
    <xf numFmtId="0" fontId="11" fillId="4" borderId="0" pivotButton="0" quotePrefix="0" xfId="0"/>
    <xf numFmtId="0" fontId="11" fillId="0" borderId="0" pivotButton="0" quotePrefix="0" xfId="0"/>
    <xf numFmtId="0" fontId="3" fillId="3"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center"/>
    </xf>
    <xf numFmtId="0" fontId="2" fillId="3"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vertical="center" wrapText="1"/>
    </xf>
    <xf numFmtId="0" fontId="6"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center" vertical="center" wrapText="1"/>
    </xf>
    <xf numFmtId="0" fontId="0" fillId="6" borderId="1" pivotButton="0" quotePrefix="0" xfId="0"/>
    <xf numFmtId="0" fontId="0" fillId="6" borderId="1" applyAlignment="1" pivotButton="0" quotePrefix="0" xfId="0">
      <alignment vertical="center" wrapText="1"/>
    </xf>
    <xf numFmtId="0" fontId="0" fillId="5" borderId="1" applyAlignment="1" pivotButton="0" quotePrefix="0" xfId="0">
      <alignment horizontal="center" vertical="center" wrapText="1"/>
    </xf>
    <xf numFmtId="0" fontId="0" fillId="5" borderId="1" pivotButton="0" quotePrefix="0" xfId="0"/>
    <xf numFmtId="0" fontId="0" fillId="5" borderId="1" applyAlignment="1" pivotButton="0" quotePrefix="0" xfId="0">
      <alignment vertical="center" wrapText="1"/>
    </xf>
    <xf numFmtId="0" fontId="3" fillId="7" borderId="1" applyAlignment="1" pivotButton="0" quotePrefix="0" xfId="0">
      <alignment horizontal="center" vertical="center" wrapText="1"/>
    </xf>
    <xf numFmtId="0" fontId="0" fillId="4" borderId="1" applyAlignment="1" pivotButton="0" quotePrefix="0" xfId="0">
      <alignment vertical="center" wrapText="1"/>
    </xf>
    <xf numFmtId="0" fontId="9"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google.com/maps?q=34.730758,132.28356" TargetMode="External" Id="rId1" /><Relationship Type="http://schemas.openxmlformats.org/officeDocument/2006/relationships/hyperlink" Target="https://www.google.com/maps?q=34.730758,132.28356" TargetMode="External" Id="rId2" /><Relationship Type="http://schemas.openxmlformats.org/officeDocument/2006/relationships/hyperlink" Target="https://maps.gsi.go.jp/#18/34.730758/132.28356/&amp;base=ort&amp;ls=ort&amp;disp=1&amp;vs=c1g1j0h0k0l0u0t0z0r0s0m0f1" TargetMode="External" Id="rId3" /><Relationship Type="http://schemas.openxmlformats.org/officeDocument/2006/relationships/hyperlink" Target="https://disaportal.gsi.go.jp/hazardmap/maps/index.html?ll=34.730758,132.28356&amp;z=16&amp;ls=flood_l2_kaokutoukai_kagan,0.8%7Cflood_l2_kaokutoukai_hanran,0.8%7Cflood_l2_keizoku,0.8%7Cflood_list,0.8%7Cflood_l1,0.8%7Cflood_list_l2,0.75" TargetMode="External" Id="rId4" /><Relationship Type="http://schemas.openxmlformats.org/officeDocument/2006/relationships/hyperlink" Target="https://disaportal.gsi.go.jp/hazardmap/maps/index.html?ll=34.730758,132.28356&amp;z=16&amp;ls=dosha_kiken_nadare,0.8%7Cdosha_keikai_jisuberi,0.8%7Cdosha_keikai_dosekiryu,0.8%7Cdosha_keikai_kyukeisha,0.8" TargetMode="External" Id="rId5" /><Relationship Type="http://schemas.openxmlformats.org/officeDocument/2006/relationships/hyperlink" Target="https://disaportal.gsi.go.jp/hazardmap/maps/index.html?ll=34.730758,132.28356&amp;z=16&amp;ls=ekijouka_zenkoku,0.8" TargetMode="External" Id="rId6" /><Relationship Type="http://schemas.openxmlformats.org/officeDocument/2006/relationships/hyperlink" Target="https://www.google.com/search?q=%E5%BA%83%E5%B3%B6%E7%9C%8C%20%E5%8C%97%E5%BA%83%E5%B3%B6%E7%94%BA%20%E5%9E%82%E7%9B%B4%E7%A9%8D%E9%9B%AA%E9%87%8F%20%E5%BB%BA%E7%AF%89%E5%9F%BA%E6%BA%96%E6%B3%95%E6%96%BD%E8%A1%8C%E7%B4%B0%E5%89%87" TargetMode="External" Id="rId7" /><Relationship Type="http://schemas.openxmlformats.org/officeDocument/2006/relationships/hyperlink" Target="https://www.google.com/search?q=%E5%8C%97%E5%BA%83%E5%B3%B6%E7%94%BA%20%E9%83%BD%E5%B8%82%E8%A8%88%E7%94%BB%E6%83%85%E5%A0%B1%20%E5%8C%BA%E5%9F%9F%E5%8C%BA%E5%88%86%20%E5%B8%82%E8%A1%97%E5%8C%96%E5%8C%BA%E5%9F%9F%20%E3%83%9E%E3%83%83%E3%83%97" TargetMode="External" Id="rId8" /><Relationship Type="http://schemas.openxmlformats.org/officeDocument/2006/relationships/hyperlink" Target="https://www.google.com/search?q=%E5%8C%97%E5%BA%83%E5%B3%B6%E7%94%BA%20%E9%83%BD%E5%B8%82%E8%A8%88%E7%94%BB%E6%83%85%E5%A0%B1%20%E5%B8%82%E8%A1%97%E5%8C%96%E8%AA%BF%E6%95%B4%E5%8C%BA%E5%9F%9F%20%E3%83%9E%E3%83%83%E3%83%97" TargetMode="External" Id="rId9" /><Relationship Type="http://schemas.openxmlformats.org/officeDocument/2006/relationships/hyperlink" Target="https://www.google.com/search?q=%E5%8C%97%E5%BA%83%E5%B3%B6%E7%94%BA%20%E7%94%A8%E9%80%94%E5%9C%B0%E5%9F%9F%20%E9%83%BD%E5%B8%82%E8%A8%88%E7%94%BB%E6%83%85%E5%A0%B1%20%E3%83%9E%E3%83%83%E3%83%97" TargetMode="External" Id="rId10" /><Relationship Type="http://schemas.openxmlformats.org/officeDocument/2006/relationships/hyperlink" Target="https://www.google.com/maps?q=34.730758,132.28356" TargetMode="External" Id="rId11" /><Relationship Type="http://schemas.openxmlformats.org/officeDocument/2006/relationships/hyperlink" Target="https://www.google.com/search?q=%E5%BA%83%E5%B3%B6%E7%9C%8C%20%E5%8C%97%E5%BA%83%E5%B3%B6%E7%94%BA%20%E6%A3%AE%E6%9E%97%E6%83%85%E5%A0%B1%20GIS%20%E5%9C%B0%E5%9F%9F%E6%A3%AE%E6%9E%97%E8%A8%88%E7%94%BB%E5%AF%BE%E8%B1%A1%E6%B0%91%E6%9C%89%E6%9E%97" TargetMode="External" Id="rId12" /><Relationship Type="http://schemas.openxmlformats.org/officeDocument/2006/relationships/hyperlink" Target="https://www.google.com/search?q=%E5%BA%83%E5%B3%B6%E7%9C%8C%20%E5%8C%97%E5%BA%83%E5%B3%B6%E7%94%BA%20%E8%87%AA%E7%84%B6%E5%85%AC%E5%9C%92%20%E5%8C%BA%E5%9F%9F%20%E9%83%BD%E5%B8%82%E5%85%AC%E5%9C%92%20%E5%8C%BA%E5%9F%9F%E5%9B%B3" TargetMode="External" Id="rId13" /><Relationship Type="http://schemas.openxmlformats.org/officeDocument/2006/relationships/hyperlink" Target="https://www.google.com/search?q=%E5%BA%83%E5%B3%B6%E7%9C%8C%20%E9%B3%A5%E7%8D%A3%E4%BF%9D%E8%AD%B7%E5%8C%BA%20%E4%BD%8D%E7%BD%AE%E5%9B%B3" TargetMode="External" Id="rId14" /><Relationship Type="http://schemas.openxmlformats.org/officeDocument/2006/relationships/hyperlink" Target="https://www.google.com/search?q=%E5%BA%83%E5%B3%B6%E7%9C%8C%20%E5%8C%97%E5%BA%83%E5%B3%B6%E7%94%BA%20%E9%81%BA%E8%B7%A1%E5%9C%B0%E5%9B%B3%20%E5%9F%8B%E8%94%B5%E6%96%87%E5%8C%96%E8%B2%A1%20%E5%8C%85%E8%94%B5%E5%9C%B0%20GIS" TargetMode="External" Id="rId15" /><Relationship Type="http://schemas.openxmlformats.org/officeDocument/2006/relationships/hyperlink" Target="https://www.google.com/search?q=%E5%8C%97%E5%BA%83%E5%B3%B6%E7%94%BA%20%E6%99%AF%E8%A6%B3%E8%A8%88%E7%94%BB%E5%8C%BA%E5%9F%9F%20%E5%9B%B3" TargetMode="External" Id="rId16" /><Relationship Type="http://schemas.openxmlformats.org/officeDocument/2006/relationships/hyperlink" Target="https://www.google.com/search?q=%E5%8C%97%E5%BA%83%E5%B3%B6%E7%94%BA%20%E9%A8%92%E9%9F%B3%E8%A6%8F%E5%88%B6%E6%B3%95%20%E5%9C%B0%E5%9F%9F%E6%8C%87%E5%AE%9A%20%E8%A6%8F%E5%88%B6%E5%9F%BA%E6%BA%96" TargetMode="External" Id="rId17" /><Relationship Type="http://schemas.openxmlformats.org/officeDocument/2006/relationships/hyperlink" Target="https://www.google.com/search?q=%E5%8C%97%E5%BA%83%E5%B3%B6%E7%94%BA%20%E6%8C%AF%E5%8B%95%E8%A6%8F%E5%88%B6%E6%B3%95%20%E5%9C%B0%E5%9F%9F%E6%8C%87%E5%AE%9A%20%E8%A6%8F%E5%88%B6%E5%9F%BA%E6%BA%96" TargetMode="External" Id="rId18" /></Relationships>
</file>

<file path=xl/worksheets/_rels/sheet5.xml.rels><Relationships xmlns="http://schemas.openxmlformats.org/package/2006/relationships"><Relationship Type="http://schemas.openxmlformats.org/officeDocument/2006/relationships/hyperlink" Target="https://www.energia.co.jp/nw/service/connect/grid_capacity/" TargetMode="External" Id="rId1" /><Relationship Type="http://schemas.openxmlformats.org/officeDocument/2006/relationships/hyperlink" Target="https://www.google.com/search?q=%E6%8E%A5%E7%B6%9A%E6%A4%9C%E8%A8%8E%20%E7%94%B3%E8%BE%BC%E7%8A%B6%E6%B3%81%20%E5%85%AC%E8%A1%A8%20%E4%B8%AD%E5%9B%BD" TargetMode="External" Id="rId2" /><Relationship Type="http://schemas.openxmlformats.org/officeDocument/2006/relationships/hyperlink" Target="https://www.energia.co.jp/nw/service/connect/grid_capacity/" TargetMode="External" Id="rId3" /><Relationship Type="http://schemas.openxmlformats.org/officeDocument/2006/relationships/hyperlink" Target="https://www.google.com/search?q=%E4%B8%AD%E5%9B%BD%20%E3%83%8E%E3%83%B3%E3%83%95%E3%82%A1%E3%83%BC%E3%83%A0%E5%9E%8B%E6%8E%A5%E7%B6%9A%20%E5%AF%BE%E8%B1%A1%E7%B3%BB%E7%B5%B1" TargetMode="External" Id="rId4" /></Relationships>
</file>

<file path=xl/worksheets/sheet1.xml><?xml version="1.0" encoding="utf-8"?>
<worksheet xmlns="http://schemas.openxmlformats.org/spreadsheetml/2006/main">
  <sheetPr>
    <outlinePr summaryBelow="1" summaryRight="1"/>
    <pageSetUpPr/>
  </sheetPr>
  <dimension ref="B2:G22"/>
  <sheetViews>
    <sheetView showGridLines="0" workbookViewId="0">
      <selection activeCell="A1" sqref="A1"/>
    </sheetView>
  </sheetViews>
  <sheetFormatPr baseColWidth="8" defaultRowHeight="15"/>
  <cols>
    <col width="2.5" customWidth="1" min="1" max="1"/>
    <col width="22" customWidth="1" min="2" max="2"/>
    <col width="34" customWidth="1" min="3" max="3"/>
    <col width="11" customWidth="1" min="4" max="4"/>
    <col width="13" customWidth="1" min="5" max="5"/>
    <col width="13" customWidth="1" min="6" max="6"/>
    <col width="13" customWidth="1" min="7" max="7"/>
  </cols>
  <sheetData>
    <row r="2">
      <c r="B2" s="1" t="inlineStr">
        <is>
          <t>総合評価（PX案件チェックシート）</t>
        </is>
      </c>
    </row>
    <row r="3">
      <c r="B3" s="2" t="inlineStr">
        <is>
          <t>作成日：2026-09-07</t>
        </is>
      </c>
    </row>
    <row r="4">
      <c r="B4" s="3" t="inlineStr">
        <is>
          <t>PX番号</t>
        </is>
      </c>
      <c r="C4" t="inlineStr">
        <is>
          <t>―</t>
        </is>
      </c>
    </row>
    <row r="5">
      <c r="B5" s="3" t="inlineStr">
        <is>
          <t>地点</t>
        </is>
      </c>
      <c r="C5" t="inlineStr">
        <is>
          <t>広島県山県郡北広島町川小田10059-3</t>
        </is>
      </c>
    </row>
    <row r="6">
      <c r="B6" s="3" t="inlineStr">
        <is>
          <t>座標</t>
        </is>
      </c>
      <c r="C6" t="inlineStr">
        <is>
          <t>34.730758, 132.28356</t>
        </is>
      </c>
    </row>
    <row r="7">
      <c r="B7" s="3" t="inlineStr">
        <is>
          <t>送配電エリア</t>
        </is>
      </c>
      <c r="C7" t="inlineStr">
        <is>
          <t>中国エリア</t>
        </is>
      </c>
    </row>
    <row r="8">
      <c r="B8" s="3" t="inlineStr">
        <is>
          <t>担当者</t>
        </is>
      </c>
      <c r="C8" t="inlineStr">
        <is>
          <t>―</t>
        </is>
      </c>
    </row>
    <row r="10">
      <c r="B10" s="4" t="inlineStr">
        <is>
          <t>総合判定</t>
        </is>
      </c>
      <c r="C10" s="5">
        <f>IF(F14+F16+F17&gt;0,"リスク高・再検討推奨",IF(E14+E17&gt;0,"要確認事項あり",IF(D14+E14=0,"未入力","進行推奨")))</f>
        <v/>
      </c>
    </row>
    <row r="11">
      <c r="B11" s="4" t="inlineStr">
        <is>
          <t>系統接続スコア</t>
        </is>
      </c>
      <c r="C11" s="6">
        <f>IF(D14+E14+F14=0,"―",ROUND((2*D14+E14)/(2*(D14+E14+F14))*100,0)&amp;" / 100")</f>
        <v/>
      </c>
    </row>
    <row r="13">
      <c r="B13" s="7" t="inlineStr">
        <is>
          <t>カテゴリ</t>
        </is>
      </c>
      <c r="C13" s="7" t="inlineStr">
        <is>
          <t>対象数</t>
        </is>
      </c>
      <c r="D13" s="7" t="inlineStr">
        <is>
          <t>良・済</t>
        </is>
      </c>
      <c r="E13" s="7" t="inlineStr">
        <is>
          <t>注意・要確認</t>
        </is>
      </c>
      <c r="F13" s="7" t="inlineStr">
        <is>
          <t>リスク・要対応</t>
        </is>
      </c>
      <c r="G13" s="7" t="inlineStr">
        <is>
          <t>スコア/進捗</t>
        </is>
      </c>
    </row>
    <row r="14" ht="26" customHeight="1">
      <c r="B14" s="8" t="inlineStr">
        <is>
          <t>系統接続確認</t>
        </is>
      </c>
      <c r="C14" s="9" t="n">
        <v>12</v>
      </c>
      <c r="D14" s="9">
        <f>COUNTIF('系統接続確認'!$E$4:$E$15,"良")</f>
        <v/>
      </c>
      <c r="E14" s="9">
        <f>COUNTIF('系統接続確認'!$E$4:$E$15,"注意")</f>
        <v/>
      </c>
      <c r="F14" s="9">
        <f>COUNTIF('系統接続確認'!$E$4:$E$15,"リスク")</f>
        <v/>
      </c>
      <c r="G14" s="9">
        <f>IF(D14+E14+F14=0,"―",ROUND((2*D14+E14)/(2*(D14+E14+F14))*100,0))</f>
        <v/>
      </c>
    </row>
    <row r="15" ht="26" customHeight="1">
      <c r="B15" s="8" t="inlineStr">
        <is>
          <t>許認可事前確認（DD）</t>
        </is>
      </c>
      <c r="C15" s="9" t="n">
        <v>18</v>
      </c>
      <c r="D15" s="9">
        <f>18-COUNTIF('広島県山県郡北広島町川小田10059-3'!$E$3:$E$20,"要確認")</f>
        <v/>
      </c>
      <c r="E15" s="9">
        <f>COUNTIF('広島県山県郡北広島町川小田10059-3'!$E$3:$E$20,"要確認")</f>
        <v/>
      </c>
      <c r="F15" s="9" t="inlineStr">
        <is>
          <t>―</t>
        </is>
      </c>
      <c r="G15" s="9">
        <f>ROUND(D15/18*100,0)&amp;"%"</f>
        <v/>
      </c>
    </row>
    <row r="16" ht="26" customHeight="1">
      <c r="B16" s="8" t="inlineStr">
        <is>
          <t>許認可チェックシート（39法令）</t>
        </is>
      </c>
      <c r="C16" s="9" t="n">
        <v>39</v>
      </c>
      <c r="D16" s="9">
        <f>COUNTIF('許認可チェックシート'!$G$3:$G$41,"不要")</f>
        <v/>
      </c>
      <c r="E16" s="9">
        <f>39-D16-F16</f>
        <v/>
      </c>
      <c r="F16" s="9">
        <f>COUNTIF('許認可チェックシート'!$G$3:$G$41,"要")</f>
        <v/>
      </c>
      <c r="G16" s="9" t="inlineStr">
        <is>
          <t>―</t>
        </is>
      </c>
    </row>
    <row r="17" ht="26" customHeight="1">
      <c r="B17" s="8" t="inlineStr">
        <is>
          <t>輸送確認</t>
        </is>
      </c>
      <c r="C17" s="9" t="n">
        <v>14</v>
      </c>
      <c r="D17" s="9">
        <f>COUNTIF('輸送確認'!$D$4:$D$17,"可")</f>
        <v/>
      </c>
      <c r="E17" s="9">
        <f>COUNTIF('輸送確認'!$D$4:$D$17,"要対策")</f>
        <v/>
      </c>
      <c r="F17" s="9">
        <f>COUNTIF('輸送確認'!$D$4:$D$17,"不可")</f>
        <v/>
      </c>
      <c r="G17" s="9" t="inlineStr">
        <is>
          <t>―</t>
        </is>
      </c>
    </row>
    <row r="19">
      <c r="B19" s="2" t="inlineStr">
        <is>
          <t>※このシートは各タブの判定セルを数式（COUNTIF）で参照しており、入力を進めると自動で更新されます。</t>
        </is>
      </c>
    </row>
    <row r="20">
      <c r="B20" s="2" t="inlineStr">
        <is>
          <t>※総合判定の規則：リスク・要対応が1件でもあれば「リスク高」／注意・要対策があれば「要確認」／それ以外は「進行推奨」。</t>
        </is>
      </c>
    </row>
    <row r="21">
      <c r="B21" s="2" t="inlineStr">
        <is>
          <t>※系統接続スコア =（良×2＋注意×1）÷（判定済み×2）×100。未確認は分母に含めません。</t>
        </is>
      </c>
    </row>
    <row r="22">
      <c r="B22" s="2" t="inlineStr">
        <is>
          <t>※許認可チェックシートの「要対応」は G列（対応要否）に「要」と入力された法令数です。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C1:H20"/>
  <sheetViews>
    <sheetView showGridLines="0" workbookViewId="0">
      <selection activeCell="A1" sqref="A1"/>
    </sheetView>
  </sheetViews>
  <sheetFormatPr baseColWidth="8" defaultRowHeight="15"/>
  <cols>
    <col width="2.5" customWidth="1" min="1" max="1"/>
    <col width="2.5" customWidth="1" min="2" max="2"/>
    <col width="12" customWidth="1" min="3" max="3"/>
    <col width="26" customWidth="1" min="4" max="4"/>
    <col width="34" customWidth="1" min="5" max="5"/>
    <col width="52" customWidth="1" min="6" max="6"/>
    <col width="30" customWidth="1" min="7" max="7"/>
    <col width="14" customWidth="1" min="8" max="8"/>
  </cols>
  <sheetData>
    <row r="1">
      <c r="C1" s="10" t="inlineStr">
        <is>
          <t>凡例： 緑=自動判定済 ／ 黄=要確認（人が確認・記入） ／ F列「検索リンク」＝開いて内容を確認</t>
        </is>
      </c>
    </row>
    <row r="2">
      <c r="C2" s="11" t="inlineStr">
        <is>
          <t>担当者</t>
        </is>
      </c>
      <c r="D2" s="12" t="inlineStr">
        <is>
          <t>地点名称</t>
        </is>
      </c>
      <c r="E2" s="13" t="inlineStr">
        <is>
          <t>値・判定</t>
        </is>
      </c>
      <c r="F2" s="13" t="inlineStr">
        <is>
          <t>証跡</t>
        </is>
      </c>
      <c r="G2" s="13" t="inlineStr">
        <is>
          <t>コメント</t>
        </is>
      </c>
      <c r="H2" s="13" t="inlineStr">
        <is>
          <t>確認方法</t>
        </is>
      </c>
    </row>
    <row r="3" ht="34" customHeight="1">
      <c r="C3" s="14" t="inlineStr"/>
      <c r="D3" s="9" t="inlineStr">
        <is>
          <t>1. 住所</t>
        </is>
      </c>
      <c r="E3" s="15" t="inlineStr">
        <is>
          <t>広島県山県郡北広島町川小田10059-3</t>
        </is>
      </c>
      <c r="F3" s="16" t="inlineStr">
        <is>
          <t>https://www.google.com/maps?q=34.730758,132.28356</t>
        </is>
      </c>
      <c r="G3" s="8" t="inlineStr">
        <is>
          <t>住所→座標は代表点（数百m誤差）。緯度経度があればそれを優先。住居表示と地番は要照合。</t>
        </is>
      </c>
      <c r="H3" s="9" t="inlineStr">
        <is>
          <t>リンク</t>
        </is>
      </c>
    </row>
    <row r="4" ht="34" customHeight="1">
      <c r="C4" s="14" t="inlineStr"/>
      <c r="D4" s="9" t="inlineStr">
        <is>
          <t>2. 座標</t>
        </is>
      </c>
      <c r="E4" s="15" t="inlineStr">
        <is>
          <t>34°43'50.7"N 132°17'0.8"E（34.730758, 132.28356）</t>
        </is>
      </c>
      <c r="F4" s="16" t="inlineStr">
        <is>
          <t>https://www.google.com/maps?q=34.730758,132.28356</t>
        </is>
      </c>
      <c r="G4" s="8" t="inlineStr">
        <is>
          <t>入力座標。地点の中心がずれていないかマップで確認。</t>
        </is>
      </c>
      <c r="H4" s="9" t="inlineStr">
        <is>
          <t>リンク</t>
        </is>
      </c>
    </row>
    <row r="5" ht="34" customHeight="1">
      <c r="C5" s="14" t="inlineStr"/>
      <c r="D5" s="9" t="inlineStr">
        <is>
          <t>3. 架線の敷地内縦横断</t>
        </is>
      </c>
      <c r="E5" s="17" t="inlineStr">
        <is>
          <t>要確認</t>
        </is>
      </c>
      <c r="F5" s="16" t="inlineStr">
        <is>
          <t>https://maps.gsi.go.jp/#18/34.730758/132.28356/&amp;base=ort&amp;ls=ort&amp;disp=1&amp;vs=c1g1j0h0k0l0u0t0z0r0s0m0f1</t>
        </is>
      </c>
      <c r="G5" s="8" t="inlineStr">
        <is>
          <t>航空写真で敷地内の電柱・架線・縦横断の有無を目視確認。 / 敷地内・上空の電柱／架線／引込線の有無をGSI航空写真（座標直リンク）で目視確認。既設架線が敷地を縦横断する場合は移設協議が必要。 / 依頼者情報：概ね更地の土地。周辺民家なし。</t>
        </is>
      </c>
      <c r="H5" s="9" t="inlineStr">
        <is>
          <t>リンク,スクショ</t>
        </is>
      </c>
    </row>
    <row r="6" ht="34" customHeight="1">
      <c r="C6" s="14" t="inlineStr"/>
      <c r="D6" s="9" t="inlineStr">
        <is>
          <t>4. ハザード・浸水</t>
        </is>
      </c>
      <c r="E6" s="15" t="inlineStr">
        <is>
          <t>該当なし</t>
        </is>
      </c>
      <c r="F6" s="16" t="inlineStr">
        <is>
          <t>https://disaportal.gsi.go.jp/hazardmap/maps/index.html?ll=34.730758,132.28356&amp;z=16&amp;ls=flood_l2_kaokutoukai_kagan,0.8%7Cflood_l2_kaokutoukai_hanran,0.8%7Cflood_l2_keizoku,0.8%7Cflood_list,0.8%7Cflood_l1,0.8%7Cflood_list_l2,0.75</t>
        </is>
      </c>
      <c r="G6" s="8" t="inlineStr">
        <is>
          <t>重ねるハザードマップで「洪水浸水想定区域」をON。 / reinfolib 洪水/高潮/津波 浸水想定区域より自動判定</t>
        </is>
      </c>
      <c r="H6" s="9" t="inlineStr">
        <is>
          <t>リンク,スクショ</t>
        </is>
      </c>
    </row>
    <row r="7" ht="34" customHeight="1">
      <c r="C7" s="14" t="inlineStr"/>
      <c r="D7" s="9" t="inlineStr">
        <is>
          <t>5. ハザード・土砂災害</t>
        </is>
      </c>
      <c r="E7" s="15" t="inlineStr">
        <is>
          <t>該当なし</t>
        </is>
      </c>
      <c r="F7" s="16" t="inlineStr">
        <is>
          <t>https://disaportal.gsi.go.jp/hazardmap/maps/index.html?ll=34.730758,132.28356&amp;z=16&amp;ls=dosha_kiken_nadare,0.8%7Cdosha_keikai_jisuberi,0.8%7Cdosha_keikai_dosekiryu,0.8%7Cdosha_keikai_kyukeisha,0.8</t>
        </is>
      </c>
      <c r="G7" s="8" t="inlineStr">
        <is>
          <t>重ねるハザードマップで「土砂災害（特別）警戒区域」をON。 / reinfolib XKT029より自動判定 / 【要注意】敷地（座標地点）は非該当だが、約82m北北西に土砂災害警戒区域、約88mに土砂災害特別警戒区域（いずれも急傾斜地の崩壊「川小田(7530)」2019/8/29指定）が迫る。事業区域・進入路が区域に掛かると特定開発行為の許可（許認可No.15）が必要。区域図を広島県西部建設事務所で必ず確認すること。</t>
        </is>
      </c>
      <c r="H7" s="9" t="inlineStr">
        <is>
          <t>リンク,スクショ</t>
        </is>
      </c>
    </row>
    <row r="8" ht="34" customHeight="1">
      <c r="C8" s="14" t="inlineStr"/>
      <c r="D8" s="9" t="inlineStr">
        <is>
          <t>6. 液状化危険度</t>
        </is>
      </c>
      <c r="E8" s="15" t="inlineStr">
        <is>
          <t>やや液状化しにくい（谷底低地（傾斜≧1/100）・傾向4/6）</t>
        </is>
      </c>
      <c r="F8" s="16" t="inlineStr">
        <is>
          <t>https://disaportal.gsi.go.jp/hazardmap/maps/index.html?ll=34.730758,132.28356&amp;z=16&amp;ls=ekijouka_zenkoku,0.8</t>
        </is>
      </c>
      <c r="G8" s="8" t="inlineStr">
        <is>
          <t>J-SHIS表層地盤＋各都道府県の液状化マップで確認。 / reinfolib XKT025（地形区分に基づく液状化発生傾向）より自動判定</t>
        </is>
      </c>
      <c r="H8" s="9" t="inlineStr">
        <is>
          <t>リンク,スクショ</t>
        </is>
      </c>
    </row>
    <row r="9" ht="34" customHeight="1">
      <c r="C9" s="14" t="inlineStr"/>
      <c r="D9" s="9" t="inlineStr">
        <is>
          <t>7. 垂直積雪量</t>
        </is>
      </c>
      <c r="E9" s="15" t="inlineStr">
        <is>
          <t>約2.0m（広島県算定式による概算）</t>
        </is>
      </c>
      <c r="F9" s="16" t="inlineStr">
        <is>
          <t>検索リンク（参考）</t>
        </is>
      </c>
      <c r="G9" s="8" t="inlineStr">
        <is>
          <t>自治体の建築基準法施行細則で指定値(cm)を確認。 / 広島県建築基準法施行細則第12条の3：d=α(ls−lso)+do。旧芸北町の値 lso=589m・do=2.05m・α=0.0036、建築場所の標高ls=575.6m（国土地理院DEM）→ d≒2.00m。概算のため北広島町建設課で最終確認のこと。積雪2m級は基礎・架台・除雪動線・冬季アクセスのコストに直結。</t>
        </is>
      </c>
      <c r="H9" s="9" t="inlineStr">
        <is>
          <t>リンク,スクショ</t>
        </is>
      </c>
    </row>
    <row r="10" ht="34" customHeight="1">
      <c r="C10" s="14" t="inlineStr"/>
      <c r="D10" s="9" t="inlineStr">
        <is>
          <t>8. 市街化区域</t>
        </is>
      </c>
      <c r="E10" s="15" t="inlineStr">
        <is>
          <t>指定なし</t>
        </is>
      </c>
      <c r="F10" s="16" t="inlineStr">
        <is>
          <t>検索リンク（参考）</t>
        </is>
      </c>
      <c r="G10" s="8" t="inlineStr">
        <is>
          <t>自治体の都市計画情報(web GIS)で区域区分を確認。 / reinfolib XKT001より自動判定（都市計画区域外の可能性）</t>
        </is>
      </c>
      <c r="H10" s="9" t="inlineStr">
        <is>
          <t>リンク,スクショ</t>
        </is>
      </c>
    </row>
    <row r="11" ht="34" customHeight="1">
      <c r="C11" s="14" t="inlineStr"/>
      <c r="D11" s="9" t="inlineStr">
        <is>
          <t>9. 市街化調整区域</t>
        </is>
      </c>
      <c r="E11" s="15" t="inlineStr">
        <is>
          <t>指定なし</t>
        </is>
      </c>
      <c r="F11" s="16" t="inlineStr">
        <is>
          <t>検索リンク（参考）</t>
        </is>
      </c>
      <c r="G11" s="8" t="inlineStr">
        <is>
          <t>同上。市街化調整区域内かを確認。 / reinfolib XKT001より自動判定（都市計画区域外の可能性）</t>
        </is>
      </c>
      <c r="H11" s="9" t="inlineStr">
        <is>
          <t>リンク,スクショ</t>
        </is>
      </c>
    </row>
    <row r="12" ht="34" customHeight="1">
      <c r="C12" s="14" t="inlineStr"/>
      <c r="D12" s="9" t="inlineStr">
        <is>
          <t>10. 用途地域</t>
        </is>
      </c>
      <c r="E12" s="15" t="inlineStr">
        <is>
          <t>指定なし</t>
        </is>
      </c>
      <c r="F12" s="16" t="inlineStr">
        <is>
          <t>検索リンク（参考）</t>
        </is>
      </c>
      <c r="G12" s="8" t="inlineStr">
        <is>
          <t>自治体の都市計画情報で用途地域を確認（指定なしの場合あり）。 / reinfolib XKT002より自動判定</t>
        </is>
      </c>
      <c r="H12" s="9" t="inlineStr">
        <is>
          <t>リンク,スクショ</t>
        </is>
      </c>
    </row>
    <row r="13" ht="34" customHeight="1">
      <c r="C13" s="14" t="inlineStr"/>
      <c r="D13" s="9" t="inlineStr">
        <is>
          <t>11. 農地該当</t>
        </is>
      </c>
      <c r="E13" s="17" t="inlineStr">
        <is>
          <t>要確認</t>
        </is>
      </c>
      <c r="F13" s="16" t="inlineStr">
        <is>
          <t>https://www.google.com/maps?q=34.730758,132.28356</t>
        </is>
      </c>
      <c r="G13" s="8" t="inlineStr">
        <is>
          <t>地点はGoogleマップ航空写真（座標）で確認。農地区分はeMAFF農地ナビ（住所/地番検索）、種別(1/2/3種)は農業委員会へ照会。 / 座標地点はGoogleマップ航空写真で現況確認。地番単位の地目・農地区分（1種/2種/3種農地）・土地改良区の受益地該当はeMAFF農地ナビ（住所検索）＋農業委員会へ照会。登記地目が「田/畑」なら農地法4/5条の転用許可が必要（許認可No.35）。 / 依頼者情報：概ね更地。</t>
        </is>
      </c>
      <c r="H13" s="9" t="inlineStr">
        <is>
          <t>リンク,スクショ</t>
        </is>
      </c>
    </row>
    <row r="14" ht="34" customHeight="1">
      <c r="C14" s="14" t="inlineStr"/>
      <c r="D14" s="9" t="inlineStr">
        <is>
          <t>12. 森林</t>
        </is>
      </c>
      <c r="E14" s="17" t="inlineStr">
        <is>
          <t>要確認</t>
        </is>
      </c>
      <c r="F14" s="16" t="inlineStr">
        <is>
          <t>検索リンク（要確認）</t>
        </is>
      </c>
      <c r="G14" s="8" t="inlineStr">
        <is>
          <t>都道府県の森林GISで地域森林計画対象民有林・保安林を確認。 / 都道府県の森林GISで「地域森林計画対象民有林」「保安林」該当を確認。該当かつ開発1ha超なら林地開発許可（許認可No.33）。伐採を伴う場合は伐採届。</t>
        </is>
      </c>
      <c r="H14" s="9" t="inlineStr">
        <is>
          <t>リンク,スクショ</t>
        </is>
      </c>
    </row>
    <row r="15" ht="34" customHeight="1">
      <c r="C15" s="14" t="inlineStr"/>
      <c r="D15" s="9" t="inlineStr">
        <is>
          <t>13. 公園</t>
        </is>
      </c>
      <c r="E15" s="15" t="inlineStr">
        <is>
          <t>該当なし</t>
        </is>
      </c>
      <c r="F15" s="16" t="inlineStr">
        <is>
          <t>検索リンク（参考）</t>
        </is>
      </c>
      <c r="G15" s="8" t="inlineStr">
        <is>
          <t>自然公園・都市公園の区域内かを確認。 / reinfolib XKT019（自然公園地域）より自動判定</t>
        </is>
      </c>
      <c r="H15" s="9" t="inlineStr">
        <is>
          <t>リンク,スクショ</t>
        </is>
      </c>
    </row>
    <row r="16" ht="34" customHeight="1">
      <c r="C16" s="14" t="inlineStr"/>
      <c r="D16" s="9" t="inlineStr">
        <is>
          <t>14. 鳥獣保護区</t>
        </is>
      </c>
      <c r="E16" s="17" t="inlineStr">
        <is>
          <t>要確認</t>
        </is>
      </c>
      <c r="F16" s="16" t="inlineStr">
        <is>
          <t>検索リンク（要確認）</t>
        </is>
      </c>
      <c r="G16" s="8" t="inlineStr">
        <is>
          <t>都道府県の鳥獣保護区位置図で確認。 / 都道府県の鳥獣保護区位置図で「鳥獣保護区」「特別保護地区」該当を確認（許認可No.30）。</t>
        </is>
      </c>
      <c r="H16" s="9" t="inlineStr">
        <is>
          <t>リンク,スクショ</t>
        </is>
      </c>
    </row>
    <row r="17" ht="34" customHeight="1">
      <c r="C17" s="14" t="inlineStr"/>
      <c r="D17" s="9" t="inlineStr">
        <is>
          <t>15. 埋蔵文化財包蔵地</t>
        </is>
      </c>
      <c r="E17" s="17" t="inlineStr">
        <is>
          <t>要確認</t>
        </is>
      </c>
      <c r="F17" s="16" t="inlineStr">
        <is>
          <t>検索リンク（要確認）</t>
        </is>
      </c>
      <c r="G17" s="8" t="inlineStr">
        <is>
          <t>都道府県/市町村の遺跡地図GISで周知の埋蔵文化財包蔵地かを確認。 / 都道府県・市町村の遺跡地図GISで「周知の埋蔵文化財包蔵地」該当を確認。該当なら着工60日前までに文化財保護法93条の届出（許認可No.38）。</t>
        </is>
      </c>
      <c r="H17" s="9" t="inlineStr">
        <is>
          <t>リンク,スクショ</t>
        </is>
      </c>
    </row>
    <row r="18" ht="34" customHeight="1">
      <c r="C18" s="14" t="inlineStr"/>
      <c r="D18" s="9" t="inlineStr">
        <is>
          <t>16. 景観区域</t>
        </is>
      </c>
      <c r="E18" s="17" t="inlineStr">
        <is>
          <t>要確認</t>
        </is>
      </c>
      <c r="F18" s="16" t="inlineStr">
        <is>
          <t>検索リンク（要確認）</t>
        </is>
      </c>
      <c r="G18" s="8" t="inlineStr">
        <is>
          <t>自治体の景観計画区域図で対象範囲・高さ規制を確認。 / 景観計画区域・高さ規制の有無を確認。コンテナ型BESSでも工作物の高さ・色彩の届出対象になる例あり（許認可No.9/10）。 / 北広島町は環境省「脱炭素先行地域」に選定されており再エネ関連の町の方針・要綱を要確認。</t>
        </is>
      </c>
      <c r="H18" s="9" t="inlineStr">
        <is>
          <t>リンク,スクショ</t>
        </is>
      </c>
    </row>
    <row r="19" ht="34" customHeight="1">
      <c r="C19" s="14" t="inlineStr"/>
      <c r="D19" s="9" t="inlineStr">
        <is>
          <t>17. 騒音規制</t>
        </is>
      </c>
      <c r="E19" s="17" t="inlineStr">
        <is>
          <t>要確認</t>
        </is>
      </c>
      <c r="F19" s="16" t="inlineStr">
        <is>
          <t>検索リンク（要確認）</t>
        </is>
      </c>
      <c r="G19" s="8" t="inlineStr">
        <is>
          <t>騒音規制区域の地域区分と規制基準(dB)を確認。 / 騒音規制法の地域指定（1〜4種区域）と規制基準dBを確認。PCS/空調の夜間騒音が争点になりやすい（許認可No.22/24）。</t>
        </is>
      </c>
      <c r="H19" s="9" t="inlineStr">
        <is>
          <t>リンク,スクショ</t>
        </is>
      </c>
    </row>
    <row r="20" ht="34" customHeight="1">
      <c r="C20" s="14" t="inlineStr"/>
      <c r="D20" s="9" t="inlineStr">
        <is>
          <t>18. 振動規制</t>
        </is>
      </c>
      <c r="E20" s="17" t="inlineStr">
        <is>
          <t>要確認</t>
        </is>
      </c>
      <c r="F20" s="16" t="inlineStr">
        <is>
          <t>検索リンク（要確認）</t>
        </is>
      </c>
      <c r="G20" s="8" t="inlineStr">
        <is>
          <t>振動規制区域の地域区分と規制基準(dB)を確認。 / 振動規制法の地域指定と規制基準dBを確認（許認可No.23）。</t>
        </is>
      </c>
      <c r="H20" s="9" t="inlineStr">
        <is>
          <t>リンク,スクショ</t>
        </is>
      </c>
    </row>
  </sheetData>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3"/>
  <sheetViews>
    <sheetView showGridLines="0" workbookViewId="0">
      <selection activeCell="A1" sqref="A1"/>
    </sheetView>
  </sheetViews>
  <sheetFormatPr baseColWidth="8" defaultRowHeight="15"/>
  <cols>
    <col width="6" customWidth="1" min="1" max="1"/>
    <col width="8" customWidth="1" min="2" max="2"/>
    <col width="5" customWidth="1" min="3" max="3"/>
    <col width="24" customWidth="1" min="4" max="4"/>
    <col width="28" customWidth="1" min="5" max="5"/>
    <col width="40" customWidth="1" min="6" max="6"/>
    <col width="9" customWidth="1" min="7" max="7"/>
    <col width="12" customWidth="1" min="8" max="8"/>
    <col width="11" customWidth="1" min="9" max="9"/>
    <col width="7" customWidth="1" min="10" max="10"/>
    <col width="7" customWidth="1" min="11" max="11"/>
    <col width="16" customWidth="1" min="12" max="12"/>
    <col width="12" customWidth="1" min="13" max="13"/>
    <col width="14" customWidth="1" min="14" max="14"/>
    <col width="14" customWidth="1" min="15" max="15"/>
    <col width="20" customWidth="1" min="16" max="16"/>
  </cols>
  <sheetData>
    <row r="1">
      <c r="A1" s="1" t="inlineStr">
        <is>
          <t xml:space="preserve">許認可チェックシート </t>
        </is>
      </c>
    </row>
    <row r="2">
      <c r="A2" s="18" t="inlineStr">
        <is>
          <t>重要</t>
        </is>
      </c>
      <c r="B2" s="18" t="inlineStr">
        <is>
          <t>担当</t>
        </is>
      </c>
      <c r="C2" s="18" t="inlineStr">
        <is>
          <t>No.</t>
        </is>
      </c>
      <c r="D2" s="18" t="inlineStr">
        <is>
          <t>法令</t>
        </is>
      </c>
      <c r="E2" s="18" t="inlineStr">
        <is>
          <t>手続名</t>
        </is>
      </c>
      <c r="F2" s="18" t="inlineStr">
        <is>
          <t>確認の要点</t>
        </is>
      </c>
      <c r="G2" s="18" t="inlineStr">
        <is>
          <t>対応要否</t>
        </is>
      </c>
      <c r="H2" s="18" t="inlineStr">
        <is>
          <t>対象範囲</t>
        </is>
      </c>
      <c r="I2" s="18" t="inlineStr">
        <is>
          <t>確認日</t>
        </is>
      </c>
      <c r="J2" s="18" t="inlineStr">
        <is>
          <t>机上</t>
        </is>
      </c>
      <c r="K2" s="18" t="inlineStr">
        <is>
          <t>連絡</t>
        </is>
      </c>
      <c r="L2" s="18" t="inlineStr">
        <is>
          <t>行政窓口</t>
        </is>
      </c>
      <c r="M2" s="18" t="inlineStr">
        <is>
          <t>担当者</t>
        </is>
      </c>
      <c r="N2" s="18" t="inlineStr">
        <is>
          <t>連絡先</t>
        </is>
      </c>
      <c r="O2" s="18" t="inlineStr">
        <is>
          <t>工程・日数</t>
        </is>
      </c>
      <c r="P2" s="18" t="inlineStr">
        <is>
          <t>備考</t>
        </is>
      </c>
    </row>
    <row r="3" ht="28" customHeight="1">
      <c r="A3" s="9" t="inlineStr"/>
      <c r="B3" s="19" t="n"/>
      <c r="C3" s="9" t="inlineStr">
        <is>
          <t>1</t>
        </is>
      </c>
      <c r="D3" s="8" t="inlineStr">
        <is>
          <t>国土利用計画法</t>
        </is>
      </c>
      <c r="E3" s="8" t="inlineStr">
        <is>
          <t>土地売買等届出</t>
        </is>
      </c>
      <c r="F3" s="8" t="inlineStr">
        <is>
          <t>規模要件と一時金の有無</t>
        </is>
      </c>
      <c r="G3" s="9" t="inlineStr"/>
      <c r="H3" s="19" t="inlineStr"/>
      <c r="I3" s="19" t="inlineStr"/>
      <c r="J3" s="19" t="inlineStr"/>
      <c r="K3" s="19" t="inlineStr"/>
      <c r="L3" s="19" t="inlineStr"/>
      <c r="M3" s="19" t="inlineStr"/>
      <c r="N3" s="19" t="inlineStr"/>
      <c r="O3" s="19" t="inlineStr"/>
      <c r="P3" s="19" t="inlineStr"/>
    </row>
    <row r="4" ht="28" customHeight="1">
      <c r="A4" s="9" t="inlineStr"/>
      <c r="B4" s="19" t="n"/>
      <c r="C4" s="9" t="inlineStr">
        <is>
          <t>2</t>
        </is>
      </c>
      <c r="D4" s="8" t="inlineStr">
        <is>
          <t>建築基準法</t>
        </is>
      </c>
      <c r="E4" s="8" t="inlineStr">
        <is>
          <t>建築確認申請</t>
        </is>
      </c>
      <c r="F4" s="8" t="inlineStr">
        <is>
          <t>確認が必要な建築物・工作物か</t>
        </is>
      </c>
      <c r="G4" s="9" t="inlineStr"/>
      <c r="H4" s="19" t="inlineStr"/>
      <c r="I4" s="19" t="inlineStr"/>
      <c r="J4" s="19" t="inlineStr"/>
      <c r="K4" s="19" t="inlineStr"/>
      <c r="L4" s="19" t="inlineStr"/>
      <c r="M4" s="19" t="inlineStr"/>
      <c r="N4" s="19" t="inlineStr"/>
      <c r="O4" s="19" t="inlineStr"/>
      <c r="P4" s="19" t="inlineStr"/>
    </row>
    <row r="5" ht="28" customHeight="1">
      <c r="A5" s="20" t="inlineStr"/>
      <c r="B5" s="21" t="n"/>
      <c r="C5" s="20" t="inlineStr">
        <is>
          <t>3</t>
        </is>
      </c>
      <c r="D5" s="22" t="inlineStr">
        <is>
          <t>都市計画法</t>
        </is>
      </c>
      <c r="E5" s="22" t="inlineStr">
        <is>
          <t>開発行為許可</t>
        </is>
      </c>
      <c r="F5" s="22" t="inlineStr">
        <is>
          <t>都計区域外1ha以上の開発か</t>
        </is>
      </c>
      <c r="G5" s="20" t="inlineStr">
        <is>
          <t>要確認</t>
        </is>
      </c>
      <c r="H5" s="21" t="inlineStr"/>
      <c r="I5" s="21" t="inlineStr"/>
      <c r="J5" s="21" t="inlineStr"/>
      <c r="K5" s="21" t="inlineStr"/>
      <c r="L5" s="21" t="inlineStr"/>
      <c r="M5" s="21" t="inlineStr"/>
      <c r="N5" s="21" t="inlineStr"/>
      <c r="O5" s="21" t="inlineStr"/>
      <c r="P5" s="21" t="inlineStr">
        <is>
          <t>都市計画区域外（reinfolib XKT001）。都計区域外は1ha以上の開発行為で開発許可。広島県は系統用蓄電池の開発許可運用を未公表だが、県内では呉市が第一種特定工作物としての運用基準を公表済み（2026-02-10）＝波及リスクあり。広島県西部建設事務所へ事前照会。</t>
        </is>
      </c>
    </row>
    <row r="6" ht="28" customHeight="1">
      <c r="A6" s="9" t="inlineStr"/>
      <c r="B6" s="19" t="n"/>
      <c r="C6" s="9" t="inlineStr">
        <is>
          <t>4</t>
        </is>
      </c>
      <c r="D6" s="8" t="inlineStr">
        <is>
          <t>都市計画法</t>
        </is>
      </c>
      <c r="E6" s="8" t="inlineStr">
        <is>
          <t>建築等制限（風致地区等）</t>
        </is>
      </c>
      <c r="F6" s="8" t="inlineStr">
        <is>
          <t>開発許可区域内外の建築制限</t>
        </is>
      </c>
      <c r="G6" s="9" t="inlineStr"/>
      <c r="H6" s="19" t="inlineStr"/>
      <c r="I6" s="19" t="inlineStr"/>
      <c r="J6" s="19" t="inlineStr"/>
      <c r="K6" s="19" t="inlineStr"/>
      <c r="L6" s="19" t="inlineStr"/>
      <c r="M6" s="19" t="inlineStr"/>
      <c r="N6" s="19" t="inlineStr"/>
      <c r="O6" s="19" t="inlineStr"/>
      <c r="P6" s="19" t="inlineStr"/>
    </row>
    <row r="7" ht="28" customHeight="1">
      <c r="A7" s="9" t="inlineStr"/>
      <c r="B7" s="19" t="n"/>
      <c r="C7" s="9" t="inlineStr">
        <is>
          <t>5</t>
        </is>
      </c>
      <c r="D7" s="8" t="inlineStr">
        <is>
          <t>県大規模土地利用事前指導要綱</t>
        </is>
      </c>
      <c r="E7" s="8" t="inlineStr">
        <is>
          <t>県開発指導要綱手続</t>
        </is>
      </c>
      <c r="F7" s="8" t="inlineStr">
        <is>
          <t>県条例の有無・対象事業該当</t>
        </is>
      </c>
      <c r="G7" s="9" t="inlineStr"/>
      <c r="H7" s="19" t="inlineStr"/>
      <c r="I7" s="19" t="inlineStr"/>
      <c r="J7" s="19" t="inlineStr"/>
      <c r="K7" s="19" t="inlineStr"/>
      <c r="L7" s="19" t="inlineStr"/>
      <c r="M7" s="19" t="inlineStr"/>
      <c r="N7" s="19" t="inlineStr"/>
      <c r="O7" s="19" t="inlineStr"/>
      <c r="P7" s="19" t="inlineStr"/>
    </row>
    <row r="8" ht="28" customHeight="1">
      <c r="A8" s="9" t="inlineStr"/>
      <c r="B8" s="19" t="n"/>
      <c r="C8" s="9" t="inlineStr">
        <is>
          <t>6</t>
        </is>
      </c>
      <c r="D8" s="8" t="inlineStr">
        <is>
          <t>市町村土地開発事業指導要綱</t>
        </is>
      </c>
      <c r="E8" s="8" t="inlineStr">
        <is>
          <t>指導要綱手続</t>
        </is>
      </c>
      <c r="F8" s="8" t="inlineStr">
        <is>
          <t>市町村条例の有無</t>
        </is>
      </c>
      <c r="G8" s="9" t="inlineStr"/>
      <c r="H8" s="19" t="inlineStr"/>
      <c r="I8" s="19" t="inlineStr"/>
      <c r="J8" s="19" t="inlineStr"/>
      <c r="K8" s="19" t="inlineStr"/>
      <c r="L8" s="19" t="inlineStr"/>
      <c r="M8" s="19" t="inlineStr"/>
      <c r="N8" s="19" t="inlineStr"/>
      <c r="O8" s="19" t="inlineStr"/>
      <c r="P8" s="19" t="inlineStr"/>
    </row>
    <row r="9" ht="28" customHeight="1">
      <c r="A9" s="20" t="inlineStr"/>
      <c r="B9" s="21" t="n"/>
      <c r="C9" s="20" t="inlineStr">
        <is>
          <t>7</t>
        </is>
      </c>
      <c r="D9" s="22" t="inlineStr">
        <is>
          <t>宅地造成及び特定盛土等規制法</t>
        </is>
      </c>
      <c r="E9" s="22" t="inlineStr">
        <is>
          <t>宅地造成等工事許可</t>
        </is>
      </c>
      <c r="F9" s="22" t="inlineStr">
        <is>
          <t>規制区域か（2024以降拡大）</t>
        </is>
      </c>
      <c r="G9" s="20" t="inlineStr">
        <is>
          <t>要確認</t>
        </is>
      </c>
      <c r="H9" s="21" t="inlineStr"/>
      <c r="I9" s="21" t="inlineStr"/>
      <c r="J9" s="21" t="inlineStr"/>
      <c r="K9" s="21" t="inlineStr"/>
      <c r="L9" s="21" t="inlineStr"/>
      <c r="M9" s="21" t="inlineStr"/>
      <c r="N9" s="21" t="inlineStr"/>
      <c r="O9" s="21" t="inlineStr"/>
      <c r="P9" s="21" t="inlineStr">
        <is>
          <t>約1.26kmに大規模盛土造成地（谷埋め型・北広島町0006／reinfolib XKT020）。敷地は非該当だが、切盛を伴う場合は宅地造成及び特定盛土等規制法の規制区域指定状況を広島県へ確認。</t>
        </is>
      </c>
    </row>
    <row r="10" ht="28" customHeight="1">
      <c r="A10" s="23" t="inlineStr">
        <is>
          <t>★</t>
        </is>
      </c>
      <c r="B10" s="24" t="n"/>
      <c r="C10" s="23" t="inlineStr">
        <is>
          <t>8</t>
        </is>
      </c>
      <c r="D10" s="25" t="inlineStr">
        <is>
          <t>特定都市河川浸水被害対策法</t>
        </is>
      </c>
      <c r="E10" s="25" t="inlineStr">
        <is>
          <t>雨水浸透阻害行為許可</t>
        </is>
      </c>
      <c r="F10" s="25" t="inlineStr">
        <is>
          <t>事前相談→許可→届出→完了検査</t>
        </is>
      </c>
      <c r="G10" s="23" t="inlineStr"/>
      <c r="H10" s="24" t="inlineStr"/>
      <c r="I10" s="24" t="inlineStr"/>
      <c r="J10" s="24" t="inlineStr"/>
      <c r="K10" s="24" t="inlineStr"/>
      <c r="L10" s="24" t="inlineStr"/>
      <c r="M10" s="24" t="inlineStr"/>
      <c r="N10" s="24" t="inlineStr"/>
      <c r="O10" s="24" t="inlineStr"/>
      <c r="P10" s="24" t="inlineStr"/>
    </row>
    <row r="11" ht="28" customHeight="1">
      <c r="A11" s="9" t="inlineStr"/>
      <c r="B11" s="19" t="n"/>
      <c r="C11" s="9" t="inlineStr">
        <is>
          <t>9</t>
        </is>
      </c>
      <c r="D11" s="8" t="inlineStr">
        <is>
          <t>県景観条例</t>
        </is>
      </c>
      <c r="E11" s="8" t="inlineStr">
        <is>
          <t>景観計画区域内行為届出</t>
        </is>
      </c>
      <c r="F11" s="8" t="inlineStr">
        <is>
          <t>工作物高さ要件・対象か</t>
        </is>
      </c>
      <c r="G11" s="9" t="inlineStr"/>
      <c r="H11" s="19" t="inlineStr"/>
      <c r="I11" s="19" t="inlineStr"/>
      <c r="J11" s="19" t="inlineStr"/>
      <c r="K11" s="19" t="inlineStr"/>
      <c r="L11" s="19" t="inlineStr"/>
      <c r="M11" s="19" t="inlineStr"/>
      <c r="N11" s="19" t="inlineStr"/>
      <c r="O11" s="19" t="inlineStr"/>
      <c r="P11" s="19" t="inlineStr"/>
    </row>
    <row r="12" ht="28" customHeight="1">
      <c r="A12" s="9" t="inlineStr"/>
      <c r="B12" s="19" t="n"/>
      <c r="C12" s="9" t="inlineStr">
        <is>
          <t>10</t>
        </is>
      </c>
      <c r="D12" s="8" t="inlineStr">
        <is>
          <t>市景観条例</t>
        </is>
      </c>
      <c r="E12" s="8" t="inlineStr">
        <is>
          <t>景観計画区域内行為届出</t>
        </is>
      </c>
      <c r="F12" s="8" t="inlineStr">
        <is>
          <t>市町村条例の有無</t>
        </is>
      </c>
      <c r="G12" s="9" t="inlineStr"/>
      <c r="H12" s="19" t="inlineStr"/>
      <c r="I12" s="19" t="inlineStr"/>
      <c r="J12" s="19" t="inlineStr"/>
      <c r="K12" s="19" t="inlineStr"/>
      <c r="L12" s="19" t="inlineStr"/>
      <c r="M12" s="19" t="inlineStr"/>
      <c r="N12" s="19" t="inlineStr"/>
      <c r="O12" s="19" t="inlineStr"/>
      <c r="P12" s="19" t="inlineStr"/>
    </row>
    <row r="13" ht="28" customHeight="1">
      <c r="A13" s="9" t="inlineStr"/>
      <c r="B13" s="19" t="n"/>
      <c r="C13" s="9" t="inlineStr">
        <is>
          <t>11</t>
        </is>
      </c>
      <c r="D13" s="8" t="inlineStr">
        <is>
          <t>河川法</t>
        </is>
      </c>
      <c r="E13" s="8" t="inlineStr">
        <is>
          <t>河川区域内占用許可</t>
        </is>
      </c>
      <c r="F13" s="8" t="inlineStr">
        <is>
          <t>河川区域・保全区域か</t>
        </is>
      </c>
      <c r="G13" s="9" t="inlineStr"/>
      <c r="H13" s="19" t="inlineStr"/>
      <c r="I13" s="19" t="inlineStr"/>
      <c r="J13" s="19" t="inlineStr"/>
      <c r="K13" s="19" t="inlineStr"/>
      <c r="L13" s="19" t="inlineStr"/>
      <c r="M13" s="19" t="inlineStr"/>
      <c r="N13" s="19" t="inlineStr"/>
      <c r="O13" s="19" t="inlineStr"/>
      <c r="P13" s="19" t="inlineStr"/>
    </row>
    <row r="14" ht="28" customHeight="1">
      <c r="A14" s="9" t="inlineStr"/>
      <c r="B14" s="19" t="n"/>
      <c r="C14" s="9" t="inlineStr">
        <is>
          <t>12</t>
        </is>
      </c>
      <c r="D14" s="8" t="inlineStr">
        <is>
          <t>砂防法</t>
        </is>
      </c>
      <c r="E14" s="8" t="inlineStr">
        <is>
          <t>砂防指定地内開発許可</t>
        </is>
      </c>
      <c r="F14" s="8" t="inlineStr">
        <is>
          <t>砂防指定地内か</t>
        </is>
      </c>
      <c r="G14" s="9" t="inlineStr"/>
      <c r="H14" s="19" t="inlineStr"/>
      <c r="I14" s="19" t="inlineStr"/>
      <c r="J14" s="19" t="inlineStr"/>
      <c r="K14" s="19" t="inlineStr"/>
      <c r="L14" s="19" t="inlineStr"/>
      <c r="M14" s="19" t="inlineStr"/>
      <c r="N14" s="19" t="inlineStr"/>
      <c r="O14" s="19" t="inlineStr"/>
      <c r="P14" s="19" t="inlineStr"/>
    </row>
    <row r="15" ht="28" customHeight="1">
      <c r="A15" s="9" t="inlineStr"/>
      <c r="B15" s="19" t="n"/>
      <c r="C15" s="9" t="inlineStr">
        <is>
          <t>13</t>
        </is>
      </c>
      <c r="D15" s="8" t="inlineStr">
        <is>
          <t>地すべり等防止法</t>
        </is>
      </c>
      <c r="E15" s="8" t="inlineStr">
        <is>
          <t>地すべり防止区域内開発許認可</t>
        </is>
      </c>
      <c r="F15" s="8" t="inlineStr">
        <is>
          <t>防止区域内か</t>
        </is>
      </c>
      <c r="G15" s="9" t="inlineStr"/>
      <c r="H15" s="19" t="inlineStr"/>
      <c r="I15" s="19" t="inlineStr"/>
      <c r="J15" s="19" t="inlineStr"/>
      <c r="K15" s="19" t="inlineStr"/>
      <c r="L15" s="19" t="inlineStr"/>
      <c r="M15" s="19" t="inlineStr"/>
      <c r="N15" s="19" t="inlineStr"/>
      <c r="O15" s="19" t="inlineStr"/>
      <c r="P15" s="19" t="inlineStr"/>
    </row>
    <row r="16" ht="28" customHeight="1">
      <c r="A16" s="9" t="inlineStr"/>
      <c r="B16" s="19" t="n"/>
      <c r="C16" s="9" t="inlineStr">
        <is>
          <t>14</t>
        </is>
      </c>
      <c r="D16" s="8" t="inlineStr">
        <is>
          <t>急傾斜地崩壊防止法</t>
        </is>
      </c>
      <c r="E16" s="8" t="inlineStr">
        <is>
          <t>急傾斜地崩壊危険区域開発許認可</t>
        </is>
      </c>
      <c r="F16" s="8" t="inlineStr">
        <is>
          <t>危険区域内か</t>
        </is>
      </c>
      <c r="G16" s="9" t="inlineStr"/>
      <c r="H16" s="19" t="inlineStr"/>
      <c r="I16" s="19" t="inlineStr"/>
      <c r="J16" s="19" t="inlineStr"/>
      <c r="K16" s="19" t="inlineStr"/>
      <c r="L16" s="19" t="inlineStr"/>
      <c r="M16" s="19" t="inlineStr"/>
      <c r="N16" s="19" t="inlineStr"/>
      <c r="O16" s="19" t="inlineStr"/>
      <c r="P16" s="19" t="inlineStr"/>
    </row>
    <row r="17" ht="28" customHeight="1">
      <c r="A17" s="20" t="inlineStr"/>
      <c r="B17" s="21" t="n"/>
      <c r="C17" s="20" t="inlineStr">
        <is>
          <t>15</t>
        </is>
      </c>
      <c r="D17" s="22" t="inlineStr">
        <is>
          <t>土砂災害防止法</t>
        </is>
      </c>
      <c r="E17" s="22" t="inlineStr">
        <is>
          <t>特別警戒区域特定開発許認可</t>
        </is>
      </c>
      <c r="F17" s="22" t="inlineStr">
        <is>
          <t>特別警戒区域内か</t>
        </is>
      </c>
      <c r="G17" s="20" t="inlineStr">
        <is>
          <t>要確認（有力）</t>
        </is>
      </c>
      <c r="H17" s="21" t="inlineStr"/>
      <c r="I17" s="21" t="inlineStr"/>
      <c r="J17" s="21" t="inlineStr"/>
      <c r="K17" s="21" t="inlineStr"/>
      <c r="L17" s="21" t="inlineStr"/>
      <c r="M17" s="21" t="inlineStr"/>
      <c r="N17" s="21" t="inlineStr"/>
      <c r="O17" s="21" t="inlineStr"/>
      <c r="P17" s="21" t="inlineStr">
        <is>
          <t>敷地の約88mに土砂災害特別警戒区域（急傾斜地の崩壊）。事業区域が掛かる場合は特定開発行為の許可が必要。</t>
        </is>
      </c>
    </row>
    <row r="18" ht="28" customHeight="1">
      <c r="A18" s="20" t="inlineStr"/>
      <c r="B18" s="21" t="n"/>
      <c r="C18" s="20" t="inlineStr">
        <is>
          <t>16</t>
        </is>
      </c>
      <c r="D18" s="22" t="inlineStr">
        <is>
          <t>土砂災害危険箇所</t>
        </is>
      </c>
      <c r="E18" s="22" t="inlineStr">
        <is>
          <t>危険箇所区域確認</t>
        </is>
      </c>
      <c r="F18" s="22" t="inlineStr">
        <is>
          <t>各危険箇所区域内か</t>
        </is>
      </c>
      <c r="G18" s="20" t="inlineStr">
        <is>
          <t>要確認（有力）</t>
        </is>
      </c>
      <c r="H18" s="21" t="inlineStr"/>
      <c r="I18" s="21" t="inlineStr"/>
      <c r="J18" s="21" t="inlineStr"/>
      <c r="K18" s="21" t="inlineStr"/>
      <c r="L18" s="21" t="inlineStr"/>
      <c r="M18" s="21" t="inlineStr"/>
      <c r="N18" s="21" t="inlineStr"/>
      <c r="O18" s="21" t="inlineStr"/>
      <c r="P18" s="21" t="inlineStr">
        <is>
          <t>約82m北北西に土砂災害警戒区域「川小田(7530)」。筆全体・進入路の掛かりを要確認。</t>
        </is>
      </c>
    </row>
    <row r="19" ht="28" customHeight="1">
      <c r="A19" s="23" t="inlineStr">
        <is>
          <t>★</t>
        </is>
      </c>
      <c r="B19" s="24" t="n"/>
      <c r="C19" s="23" t="inlineStr">
        <is>
          <t>17</t>
        </is>
      </c>
      <c r="D19" s="25" t="inlineStr">
        <is>
          <t>道路法①</t>
        </is>
      </c>
      <c r="E19" s="25" t="inlineStr">
        <is>
          <t>道路使用/占用許可・工事施工承認</t>
        </is>
      </c>
      <c r="F19" s="25" t="inlineStr">
        <is>
          <t>道路使用・占用の有無</t>
        </is>
      </c>
      <c r="G19" s="23" t="inlineStr"/>
      <c r="H19" s="24" t="inlineStr"/>
      <c r="I19" s="24" t="inlineStr"/>
      <c r="J19" s="24" t="inlineStr"/>
      <c r="K19" s="24" t="inlineStr"/>
      <c r="L19" s="24" t="inlineStr"/>
      <c r="M19" s="24" t="inlineStr"/>
      <c r="N19" s="24" t="inlineStr"/>
      <c r="O19" s="24" t="inlineStr"/>
      <c r="P19" s="24" t="inlineStr"/>
    </row>
    <row r="20" ht="28" customHeight="1">
      <c r="A20" s="23" t="inlineStr">
        <is>
          <t>★</t>
        </is>
      </c>
      <c r="B20" s="24" t="n"/>
      <c r="C20" s="23" t="inlineStr">
        <is>
          <t>18</t>
        </is>
      </c>
      <c r="D20" s="25" t="inlineStr">
        <is>
          <t>道路法②</t>
        </is>
      </c>
      <c r="E20" s="25" t="inlineStr">
        <is>
          <t>特殊車両通行許可</t>
        </is>
      </c>
      <c r="F20" s="25" t="inlineStr">
        <is>
          <t>制限値超の大型車両通行（輸送確認と連動）</t>
        </is>
      </c>
      <c r="G20" s="23" t="inlineStr"/>
      <c r="H20" s="24" t="inlineStr"/>
      <c r="I20" s="24" t="inlineStr"/>
      <c r="J20" s="24" t="inlineStr"/>
      <c r="K20" s="24" t="inlineStr"/>
      <c r="L20" s="24" t="inlineStr"/>
      <c r="M20" s="24" t="inlineStr"/>
      <c r="N20" s="24" t="inlineStr"/>
      <c r="O20" s="24" t="inlineStr"/>
      <c r="P20" s="24" t="inlineStr"/>
    </row>
    <row r="21" ht="28" customHeight="1">
      <c r="A21" s="9" t="inlineStr"/>
      <c r="B21" s="19" t="n"/>
      <c r="C21" s="9" t="inlineStr">
        <is>
          <t>19</t>
        </is>
      </c>
      <c r="D21" s="8" t="inlineStr">
        <is>
          <t>道路法③</t>
        </is>
      </c>
      <c r="E21" s="8" t="inlineStr">
        <is>
          <t>認定道路の確認</t>
        </is>
      </c>
      <c r="F21" s="8" t="inlineStr">
        <is>
          <t>道路種類・幅員・拡幅計画</t>
        </is>
      </c>
      <c r="G21" s="9" t="inlineStr"/>
      <c r="H21" s="19" t="inlineStr"/>
      <c r="I21" s="19" t="inlineStr"/>
      <c r="J21" s="19" t="inlineStr"/>
      <c r="K21" s="19" t="inlineStr"/>
      <c r="L21" s="19" t="inlineStr"/>
      <c r="M21" s="19" t="inlineStr"/>
      <c r="N21" s="19" t="inlineStr"/>
      <c r="O21" s="19" t="inlineStr"/>
      <c r="P21" s="19" t="inlineStr"/>
    </row>
    <row r="22" ht="28" customHeight="1">
      <c r="A22" s="9" t="inlineStr"/>
      <c r="B22" s="19" t="n"/>
      <c r="C22" s="9" t="inlineStr">
        <is>
          <t>20</t>
        </is>
      </c>
      <c r="D22" s="8" t="inlineStr">
        <is>
          <t>法定外公共物</t>
        </is>
      </c>
      <c r="E22" s="8" t="inlineStr">
        <is>
          <t>法定外公共物占用許可</t>
        </is>
      </c>
      <c r="F22" s="8" t="inlineStr">
        <is>
          <t>法定外道路・水路の有無</t>
        </is>
      </c>
      <c r="G22" s="9" t="inlineStr"/>
      <c r="H22" s="19" t="inlineStr"/>
      <c r="I22" s="19" t="inlineStr"/>
      <c r="J22" s="19" t="inlineStr"/>
      <c r="K22" s="19" t="inlineStr"/>
      <c r="L22" s="19" t="inlineStr"/>
      <c r="M22" s="19" t="inlineStr"/>
      <c r="N22" s="19" t="inlineStr"/>
      <c r="O22" s="19" t="inlineStr"/>
      <c r="P22" s="19" t="inlineStr"/>
    </row>
    <row r="23" ht="28" customHeight="1">
      <c r="A23" s="9" t="inlineStr"/>
      <c r="B23" s="19" t="n"/>
      <c r="C23" s="9" t="inlineStr">
        <is>
          <t>21</t>
        </is>
      </c>
      <c r="D23" s="8" t="inlineStr">
        <is>
          <t>土壌汚染対策法</t>
        </is>
      </c>
      <c r="E23" s="8" t="inlineStr">
        <is>
          <t>土地形質変更届出</t>
        </is>
      </c>
      <c r="F23" s="8" t="inlineStr">
        <is>
          <t>3000㎡以上の形質変更か</t>
        </is>
      </c>
      <c r="G23" s="9" t="inlineStr"/>
      <c r="H23" s="19" t="inlineStr"/>
      <c r="I23" s="19" t="inlineStr"/>
      <c r="J23" s="19" t="inlineStr"/>
      <c r="K23" s="19" t="inlineStr"/>
      <c r="L23" s="19" t="inlineStr"/>
      <c r="M23" s="19" t="inlineStr"/>
      <c r="N23" s="19" t="inlineStr"/>
      <c r="O23" s="19" t="inlineStr"/>
      <c r="P23" s="19" t="inlineStr"/>
    </row>
    <row r="24" ht="28" customHeight="1">
      <c r="A24" s="9" t="inlineStr"/>
      <c r="B24" s="19" t="n"/>
      <c r="C24" s="9" t="inlineStr">
        <is>
          <t>22</t>
        </is>
      </c>
      <c r="D24" s="8" t="inlineStr">
        <is>
          <t>騒音規制法</t>
        </is>
      </c>
      <c r="E24" s="8" t="inlineStr">
        <is>
          <t>特定建設作業/特定施設届出</t>
        </is>
      </c>
      <c r="F24" s="8" t="inlineStr">
        <is>
          <t>騒音規制区域内か</t>
        </is>
      </c>
      <c r="G24" s="9" t="inlineStr"/>
      <c r="H24" s="19" t="inlineStr"/>
      <c r="I24" s="19" t="inlineStr"/>
      <c r="J24" s="19" t="inlineStr"/>
      <c r="K24" s="19" t="inlineStr"/>
      <c r="L24" s="19" t="inlineStr"/>
      <c r="M24" s="19" t="inlineStr"/>
      <c r="N24" s="19" t="inlineStr"/>
      <c r="O24" s="19" t="inlineStr"/>
      <c r="P24" s="19" t="inlineStr"/>
    </row>
    <row r="25" ht="28" customHeight="1">
      <c r="A25" s="9" t="inlineStr"/>
      <c r="B25" s="19" t="n"/>
      <c r="C25" s="9" t="inlineStr">
        <is>
          <t>23</t>
        </is>
      </c>
      <c r="D25" s="8" t="inlineStr">
        <is>
          <t>振動規制法</t>
        </is>
      </c>
      <c r="E25" s="8" t="inlineStr">
        <is>
          <t>特定建設作業/特定施設届出</t>
        </is>
      </c>
      <c r="F25" s="8" t="inlineStr">
        <is>
          <t>振動規制区域内か</t>
        </is>
      </c>
      <c r="G25" s="9" t="inlineStr"/>
      <c r="H25" s="19" t="inlineStr"/>
      <c r="I25" s="19" t="inlineStr"/>
      <c r="J25" s="19" t="inlineStr"/>
      <c r="K25" s="19" t="inlineStr"/>
      <c r="L25" s="19" t="inlineStr"/>
      <c r="M25" s="19" t="inlineStr"/>
      <c r="N25" s="19" t="inlineStr"/>
      <c r="O25" s="19" t="inlineStr"/>
      <c r="P25" s="19" t="inlineStr"/>
    </row>
    <row r="26" ht="28" customHeight="1">
      <c r="A26" s="23" t="inlineStr">
        <is>
          <t>★</t>
        </is>
      </c>
      <c r="B26" s="24" t="n"/>
      <c r="C26" s="23" t="inlineStr">
        <is>
          <t>24</t>
        </is>
      </c>
      <c r="D26" s="25" t="inlineStr">
        <is>
          <t>県生活環境保全条例</t>
        </is>
      </c>
      <c r="E26" s="25" t="inlineStr">
        <is>
          <t>区域外騒音指定作業/施設届出</t>
        </is>
      </c>
      <c r="F26" s="25" t="inlineStr">
        <is>
          <t>県条例の規制地域内か</t>
        </is>
      </c>
      <c r="G26" s="23" t="inlineStr"/>
      <c r="H26" s="24" t="inlineStr"/>
      <c r="I26" s="24" t="inlineStr"/>
      <c r="J26" s="24" t="inlineStr"/>
      <c r="K26" s="24" t="inlineStr"/>
      <c r="L26" s="24" t="inlineStr"/>
      <c r="M26" s="24" t="inlineStr"/>
      <c r="N26" s="24" t="inlineStr"/>
      <c r="O26" s="24" t="inlineStr"/>
      <c r="P26" s="24" t="inlineStr"/>
    </row>
    <row r="27" ht="28" customHeight="1">
      <c r="A27" s="23" t="inlineStr">
        <is>
          <t>★</t>
        </is>
      </c>
      <c r="B27" s="24" t="n"/>
      <c r="C27" s="23" t="inlineStr">
        <is>
          <t>25</t>
        </is>
      </c>
      <c r="D27" s="25" t="inlineStr">
        <is>
          <t>建設リサイクル法</t>
        </is>
      </c>
      <c r="E27" s="25" t="inlineStr">
        <is>
          <t>対象建設工事届出</t>
        </is>
      </c>
      <c r="F27" s="25" t="inlineStr">
        <is>
          <t>対象工事・資材か（着工7日前）</t>
        </is>
      </c>
      <c r="G27" s="23" t="inlineStr"/>
      <c r="H27" s="24" t="inlineStr"/>
      <c r="I27" s="24" t="inlineStr"/>
      <c r="J27" s="24" t="inlineStr"/>
      <c r="K27" s="24" t="inlineStr"/>
      <c r="L27" s="24" t="inlineStr"/>
      <c r="M27" s="24" t="inlineStr"/>
      <c r="N27" s="24" t="inlineStr"/>
      <c r="O27" s="24" t="inlineStr"/>
      <c r="P27" s="24" t="inlineStr"/>
    </row>
    <row r="28" ht="28" customHeight="1">
      <c r="A28" s="9" t="inlineStr"/>
      <c r="B28" s="19" t="n"/>
      <c r="C28" s="9" t="inlineStr">
        <is>
          <t>26</t>
        </is>
      </c>
      <c r="D28" s="8" t="inlineStr">
        <is>
          <t>自然公園法</t>
        </is>
      </c>
      <c r="E28" s="8" t="inlineStr">
        <is>
          <t>公園区域内行為規制</t>
        </is>
      </c>
      <c r="F28" s="8" t="inlineStr">
        <is>
          <t>公園区域内か</t>
        </is>
      </c>
      <c r="G28" s="9" t="inlineStr"/>
      <c r="H28" s="19" t="inlineStr"/>
      <c r="I28" s="19" t="inlineStr"/>
      <c r="J28" s="19" t="inlineStr"/>
      <c r="K28" s="19" t="inlineStr"/>
      <c r="L28" s="19" t="inlineStr"/>
      <c r="M28" s="19" t="inlineStr"/>
      <c r="N28" s="19" t="inlineStr"/>
      <c r="O28" s="19" t="inlineStr"/>
      <c r="P28" s="19" t="inlineStr"/>
    </row>
    <row r="29" ht="28" customHeight="1">
      <c r="A29" s="9" t="inlineStr"/>
      <c r="B29" s="19" t="n"/>
      <c r="C29" s="9" t="inlineStr">
        <is>
          <t>27</t>
        </is>
      </c>
      <c r="D29" s="8" t="inlineStr">
        <is>
          <t>県立自然公園条例</t>
        </is>
      </c>
      <c r="E29" s="8" t="inlineStr">
        <is>
          <t>県立自然公園区域内行為規制</t>
        </is>
      </c>
      <c r="F29" s="8" t="inlineStr">
        <is>
          <t>県条例・区域内か</t>
        </is>
      </c>
      <c r="G29" s="9" t="inlineStr"/>
      <c r="H29" s="19" t="inlineStr"/>
      <c r="I29" s="19" t="inlineStr"/>
      <c r="J29" s="19" t="inlineStr"/>
      <c r="K29" s="19" t="inlineStr"/>
      <c r="L29" s="19" t="inlineStr"/>
      <c r="M29" s="19" t="inlineStr"/>
      <c r="N29" s="19" t="inlineStr"/>
      <c r="O29" s="19" t="inlineStr"/>
      <c r="P29" s="19" t="inlineStr"/>
    </row>
    <row r="30" ht="28" customHeight="1">
      <c r="A30" s="9" t="inlineStr"/>
      <c r="B30" s="19" t="n"/>
      <c r="C30" s="9" t="inlineStr">
        <is>
          <t>28</t>
        </is>
      </c>
      <c r="D30" s="8" t="inlineStr">
        <is>
          <t>自然環境保全法</t>
        </is>
      </c>
      <c r="E30" s="8" t="inlineStr">
        <is>
          <t>保全区域内行為規制</t>
        </is>
      </c>
      <c r="F30" s="8" t="inlineStr">
        <is>
          <t>保全区域内か</t>
        </is>
      </c>
      <c r="G30" s="9" t="inlineStr"/>
      <c r="H30" s="19" t="inlineStr"/>
      <c r="I30" s="19" t="inlineStr"/>
      <c r="J30" s="19" t="inlineStr"/>
      <c r="K30" s="19" t="inlineStr"/>
      <c r="L30" s="19" t="inlineStr"/>
      <c r="M30" s="19" t="inlineStr"/>
      <c r="N30" s="19" t="inlineStr"/>
      <c r="O30" s="19" t="inlineStr"/>
      <c r="P30" s="19" t="inlineStr"/>
    </row>
    <row r="31" ht="28" customHeight="1">
      <c r="A31" s="9" t="inlineStr"/>
      <c r="B31" s="19" t="n"/>
      <c r="C31" s="9" t="inlineStr">
        <is>
          <t>29</t>
        </is>
      </c>
      <c r="D31" s="8" t="inlineStr">
        <is>
          <t>県自然環境保全条例</t>
        </is>
      </c>
      <c r="E31" s="8" t="inlineStr">
        <is>
          <t>緑地環境保全/自然記念物届出</t>
        </is>
      </c>
      <c r="F31" s="8" t="inlineStr">
        <is>
          <t>県条例・対象要件</t>
        </is>
      </c>
      <c r="G31" s="9" t="inlineStr"/>
      <c r="H31" s="19" t="inlineStr"/>
      <c r="I31" s="19" t="inlineStr"/>
      <c r="J31" s="19" t="inlineStr"/>
      <c r="K31" s="19" t="inlineStr"/>
      <c r="L31" s="19" t="inlineStr"/>
      <c r="M31" s="19" t="inlineStr"/>
      <c r="N31" s="19" t="inlineStr"/>
      <c r="O31" s="19" t="inlineStr"/>
      <c r="P31" s="19" t="inlineStr"/>
    </row>
    <row r="32" ht="28" customHeight="1">
      <c r="A32" s="9" t="inlineStr"/>
      <c r="B32" s="19" t="n"/>
      <c r="C32" s="9" t="inlineStr">
        <is>
          <t>30</t>
        </is>
      </c>
      <c r="D32" s="8" t="inlineStr">
        <is>
          <t>鳥獣保護法</t>
        </is>
      </c>
      <c r="E32" s="8" t="inlineStr">
        <is>
          <t>特別保護地区内開発許可</t>
        </is>
      </c>
      <c r="F32" s="8" t="inlineStr">
        <is>
          <t>特別保護区域内か</t>
        </is>
      </c>
      <c r="G32" s="9" t="inlineStr"/>
      <c r="H32" s="19" t="inlineStr"/>
      <c r="I32" s="19" t="inlineStr"/>
      <c r="J32" s="19" t="inlineStr"/>
      <c r="K32" s="19" t="inlineStr"/>
      <c r="L32" s="19" t="inlineStr"/>
      <c r="M32" s="19" t="inlineStr"/>
      <c r="N32" s="19" t="inlineStr"/>
      <c r="O32" s="19" t="inlineStr"/>
      <c r="P32" s="19" t="inlineStr"/>
    </row>
    <row r="33" ht="28" customHeight="1">
      <c r="A33" s="9" t="inlineStr"/>
      <c r="B33" s="19" t="n"/>
      <c r="C33" s="9" t="inlineStr">
        <is>
          <t>31</t>
        </is>
      </c>
      <c r="D33" s="8" t="inlineStr">
        <is>
          <t>県環境影響評価条例</t>
        </is>
      </c>
      <c r="E33" s="8" t="inlineStr">
        <is>
          <t>環境影響評価手続</t>
        </is>
      </c>
      <c r="F33" s="8" t="inlineStr">
        <is>
          <t>県条例・対象事業該当</t>
        </is>
      </c>
      <c r="G33" s="9" t="inlineStr"/>
      <c r="H33" s="19" t="inlineStr"/>
      <c r="I33" s="19" t="inlineStr"/>
      <c r="J33" s="19" t="inlineStr"/>
      <c r="K33" s="19" t="inlineStr"/>
      <c r="L33" s="19" t="inlineStr"/>
      <c r="M33" s="19" t="inlineStr"/>
      <c r="N33" s="19" t="inlineStr"/>
      <c r="O33" s="19" t="inlineStr"/>
      <c r="P33" s="19" t="inlineStr"/>
    </row>
    <row r="34" ht="28" customHeight="1">
      <c r="A34" s="9" t="inlineStr"/>
      <c r="B34" s="19" t="n"/>
      <c r="C34" s="9" t="inlineStr">
        <is>
          <t>32</t>
        </is>
      </c>
      <c r="D34" s="8" t="inlineStr">
        <is>
          <t>市環境影響評価条例</t>
        </is>
      </c>
      <c r="E34" s="8" t="inlineStr">
        <is>
          <t>環境影響評価手続</t>
        </is>
      </c>
      <c r="F34" s="8" t="inlineStr">
        <is>
          <t>市町村条例の有無</t>
        </is>
      </c>
      <c r="G34" s="9" t="inlineStr"/>
      <c r="H34" s="19" t="inlineStr"/>
      <c r="I34" s="19" t="inlineStr"/>
      <c r="J34" s="19" t="inlineStr"/>
      <c r="K34" s="19" t="inlineStr"/>
      <c r="L34" s="19" t="inlineStr"/>
      <c r="M34" s="19" t="inlineStr"/>
      <c r="N34" s="19" t="inlineStr"/>
      <c r="O34" s="19" t="inlineStr"/>
      <c r="P34" s="19" t="inlineStr"/>
    </row>
    <row r="35" ht="28" customHeight="1">
      <c r="A35" s="9" t="inlineStr"/>
      <c r="B35" s="19" t="n"/>
      <c r="C35" s="9" t="inlineStr">
        <is>
          <t>33</t>
        </is>
      </c>
      <c r="D35" s="8" t="inlineStr">
        <is>
          <t>森林法</t>
        </is>
      </c>
      <c r="E35" s="8" t="inlineStr">
        <is>
          <t>伐採届出/林地開発許可</t>
        </is>
      </c>
      <c r="F35" s="8" t="inlineStr">
        <is>
          <t>森林計画対象民有林か・1ha超開発か</t>
        </is>
      </c>
      <c r="G35" s="9" t="inlineStr"/>
      <c r="H35" s="19" t="inlineStr"/>
      <c r="I35" s="19" t="inlineStr"/>
      <c r="J35" s="19" t="inlineStr"/>
      <c r="K35" s="19" t="inlineStr"/>
      <c r="L35" s="19" t="inlineStr"/>
      <c r="M35" s="19" t="inlineStr"/>
      <c r="N35" s="19" t="inlineStr"/>
      <c r="O35" s="19" t="inlineStr"/>
      <c r="P35" s="19" t="inlineStr"/>
    </row>
    <row r="36" ht="28" customHeight="1">
      <c r="A36" s="9" t="inlineStr"/>
      <c r="B36" s="19" t="n"/>
      <c r="C36" s="9" t="inlineStr">
        <is>
          <t>34</t>
        </is>
      </c>
      <c r="D36" s="8" t="inlineStr">
        <is>
          <t>森林法</t>
        </is>
      </c>
      <c r="E36" s="8" t="inlineStr">
        <is>
          <t>保安林伐採許可/形質変更許可</t>
        </is>
      </c>
      <c r="F36" s="8" t="inlineStr">
        <is>
          <t>保安林か</t>
        </is>
      </c>
      <c r="G36" s="9" t="inlineStr"/>
      <c r="H36" s="19" t="inlineStr"/>
      <c r="I36" s="19" t="inlineStr"/>
      <c r="J36" s="19" t="inlineStr"/>
      <c r="K36" s="19" t="inlineStr"/>
      <c r="L36" s="19" t="inlineStr"/>
      <c r="M36" s="19" t="inlineStr"/>
      <c r="N36" s="19" t="inlineStr"/>
      <c r="O36" s="19" t="inlineStr"/>
      <c r="P36" s="19" t="inlineStr"/>
    </row>
    <row r="37" ht="28" customHeight="1">
      <c r="A37" s="23" t="inlineStr">
        <is>
          <t>★</t>
        </is>
      </c>
      <c r="B37" s="24" t="n"/>
      <c r="C37" s="23" t="inlineStr">
        <is>
          <t>35</t>
        </is>
      </c>
      <c r="D37" s="25" t="inlineStr">
        <is>
          <t>農地法</t>
        </is>
      </c>
      <c r="E37" s="25" t="inlineStr">
        <is>
          <t>農地転用許可</t>
        </is>
      </c>
      <c r="F37" s="25" t="inlineStr">
        <is>
          <t>農地種別・土地改良区該当。事前相談→転用許可</t>
        </is>
      </c>
      <c r="G37" s="23" t="inlineStr"/>
      <c r="H37" s="24" t="inlineStr"/>
      <c r="I37" s="24" t="inlineStr"/>
      <c r="J37" s="24" t="inlineStr"/>
      <c r="K37" s="24" t="inlineStr"/>
      <c r="L37" s="24" t="inlineStr"/>
      <c r="M37" s="24" t="inlineStr"/>
      <c r="N37" s="24" t="inlineStr"/>
      <c r="O37" s="24" t="inlineStr"/>
      <c r="P37" s="24" t="inlineStr"/>
    </row>
    <row r="38" ht="28" customHeight="1">
      <c r="A38" s="9" t="inlineStr"/>
      <c r="B38" s="19" t="n"/>
      <c r="C38" s="9" t="inlineStr">
        <is>
          <t>36</t>
        </is>
      </c>
      <c r="D38" s="8" t="inlineStr">
        <is>
          <t>農振法</t>
        </is>
      </c>
      <c r="E38" s="8" t="inlineStr">
        <is>
          <t>農振除外手続</t>
        </is>
      </c>
      <c r="F38" s="8" t="inlineStr">
        <is>
          <t>農用地区内か</t>
        </is>
      </c>
      <c r="G38" s="9" t="inlineStr"/>
      <c r="H38" s="19" t="inlineStr"/>
      <c r="I38" s="19" t="inlineStr"/>
      <c r="J38" s="19" t="inlineStr"/>
      <c r="K38" s="19" t="inlineStr"/>
      <c r="L38" s="19" t="inlineStr"/>
      <c r="M38" s="19" t="inlineStr"/>
      <c r="N38" s="19" t="inlineStr"/>
      <c r="O38" s="19" t="inlineStr"/>
      <c r="P38" s="19" t="inlineStr"/>
    </row>
    <row r="39" ht="28" customHeight="1">
      <c r="A39" s="23" t="inlineStr">
        <is>
          <t>★</t>
        </is>
      </c>
      <c r="B39" s="24" t="n"/>
      <c r="C39" s="23" t="inlineStr">
        <is>
          <t>37</t>
        </is>
      </c>
      <c r="D39" s="25" t="inlineStr">
        <is>
          <t>消防法</t>
        </is>
      </c>
      <c r="E39" s="25" t="inlineStr">
        <is>
          <t>電気/危険物設備の各届出・許可</t>
        </is>
      </c>
      <c r="F39" s="25" t="inlineStr">
        <is>
          <t>蓄電所/発電所の消防条例手続</t>
        </is>
      </c>
      <c r="G39" s="23" t="inlineStr"/>
      <c r="H39" s="24" t="inlineStr"/>
      <c r="I39" s="24" t="inlineStr"/>
      <c r="J39" s="24" t="inlineStr"/>
      <c r="K39" s="24" t="inlineStr"/>
      <c r="L39" s="24" t="inlineStr"/>
      <c r="M39" s="24" t="inlineStr"/>
      <c r="N39" s="24" t="inlineStr"/>
      <c r="O39" s="24" t="inlineStr"/>
      <c r="P39" s="24" t="inlineStr"/>
    </row>
    <row r="40" ht="28" customHeight="1">
      <c r="A40" s="9" t="inlineStr"/>
      <c r="B40" s="19" t="n"/>
      <c r="C40" s="9" t="inlineStr">
        <is>
          <t>38</t>
        </is>
      </c>
      <c r="D40" s="8" t="inlineStr">
        <is>
          <t>文化財保護法</t>
        </is>
      </c>
      <c r="E40" s="8" t="inlineStr">
        <is>
          <t>埋蔵文化財包蔵地土木工事届出</t>
        </is>
      </c>
      <c r="F40" s="8" t="inlineStr">
        <is>
          <t>周知の埋蔵文化財包蔵地か</t>
        </is>
      </c>
      <c r="G40" s="9" t="inlineStr"/>
      <c r="H40" s="19" t="inlineStr"/>
      <c r="I40" s="19" t="inlineStr"/>
      <c r="J40" s="19" t="inlineStr"/>
      <c r="K40" s="19" t="inlineStr"/>
      <c r="L40" s="19" t="inlineStr"/>
      <c r="M40" s="19" t="inlineStr"/>
      <c r="N40" s="19" t="inlineStr"/>
      <c r="O40" s="19" t="inlineStr"/>
      <c r="P40" s="19" t="inlineStr"/>
    </row>
    <row r="41" ht="28" customHeight="1">
      <c r="A41" s="9" t="inlineStr"/>
      <c r="B41" s="19" t="n"/>
      <c r="C41" s="9" t="inlineStr">
        <is>
          <t>39</t>
        </is>
      </c>
      <c r="D41" s="8" t="inlineStr">
        <is>
          <t>工場立地法</t>
        </is>
      </c>
      <c r="E41" s="8" t="inlineStr">
        <is>
          <t>特定工場設置届出</t>
        </is>
      </c>
      <c r="F41" s="8" t="inlineStr">
        <is>
          <t>特定工場に該当するか</t>
        </is>
      </c>
      <c r="G41" s="9" t="inlineStr"/>
      <c r="H41" s="19" t="inlineStr"/>
      <c r="I41" s="19" t="inlineStr"/>
      <c r="J41" s="19" t="inlineStr"/>
      <c r="K41" s="19" t="inlineStr"/>
      <c r="L41" s="19" t="inlineStr"/>
      <c r="M41" s="19" t="inlineStr"/>
      <c r="N41" s="19" t="inlineStr"/>
      <c r="O41" s="19" t="inlineStr"/>
      <c r="P41" s="19" t="inlineStr"/>
    </row>
    <row r="43">
      <c r="D43" s="2" t="inlineStr">
        <is>
          <t>※「要」の手続は工程（1M～6M＋着工・完工）をガント化。代表例：特定都市河川/農地法/消防法/道路法①②/生活環境保全条例/建設リサイクル法。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6" customWidth="1" min="1" max="1"/>
    <col width="26" customWidth="1" min="2" max="2"/>
    <col width="40" customWidth="1" min="3" max="3"/>
    <col width="10" customWidth="1" min="4" max="4"/>
    <col width="40" customWidth="1" min="5" max="5"/>
    <col width="30" customWidth="1" min="6" max="6"/>
  </cols>
  <sheetData>
    <row r="1">
      <c r="A1" s="1" t="inlineStr">
        <is>
          <t xml:space="preserve">輸送確認 </t>
        </is>
      </c>
      <c r="C1" s="2" t="inlineStr">
        <is>
          <t>納入先：広島県山県郡北広島町川小田10059-3</t>
        </is>
      </c>
    </row>
    <row r="2">
      <c r="A2" s="2" t="inlineStr">
        <is>
          <t>※コンテナ型蓄電池(BESS)/PCSの輸送可否確認。社内リファレンスに合わせて項目を調整してください。</t>
        </is>
      </c>
    </row>
    <row r="3">
      <c r="A3" s="26" t="inlineStr">
        <is>
          <t>No.</t>
        </is>
      </c>
      <c r="B3" s="26" t="inlineStr">
        <is>
          <t>確認項目</t>
        </is>
      </c>
      <c r="C3" s="26" t="inlineStr">
        <is>
          <t>確認結果</t>
        </is>
      </c>
      <c r="D3" s="26" t="inlineStr">
        <is>
          <t>判定</t>
        </is>
      </c>
      <c r="E3" s="26" t="inlineStr">
        <is>
          <t>証跡（リンク）</t>
        </is>
      </c>
      <c r="F3" s="26" t="inlineStr">
        <is>
          <t>備考</t>
        </is>
      </c>
    </row>
    <row r="4" ht="30" customHeight="1">
      <c r="A4" s="9" t="inlineStr">
        <is>
          <t>1</t>
        </is>
      </c>
      <c r="B4" s="8" t="inlineStr">
        <is>
          <t>出荷元（工場/港）</t>
        </is>
      </c>
      <c r="C4" s="8" t="inlineStr"/>
      <c r="D4" s="9" t="inlineStr"/>
      <c r="E4" s="8" t="inlineStr"/>
      <c r="F4" s="8" t="inlineStr">
        <is>
          <t>輸送元の所在地・最寄IC・港湾。</t>
        </is>
      </c>
    </row>
    <row r="5" ht="30" customHeight="1">
      <c r="A5" s="9" t="inlineStr">
        <is>
          <t>2</t>
        </is>
      </c>
      <c r="B5" s="8" t="inlineStr">
        <is>
          <t>輸送ルート（概要）</t>
        </is>
      </c>
      <c r="C5" s="8" t="inlineStr"/>
      <c r="D5" s="9" t="inlineStr"/>
      <c r="E5" s="8" t="inlineStr"/>
      <c r="F5" s="8" t="inlineStr">
        <is>
          <t>出荷元→現地の想定ルート。GoogleマップのルートURLを証跡に。</t>
        </is>
      </c>
    </row>
    <row r="6" ht="30" customHeight="1">
      <c r="A6" s="9" t="inlineStr">
        <is>
          <t>3</t>
        </is>
      </c>
      <c r="B6" s="8" t="inlineStr">
        <is>
          <t>車両諸元（積載時）</t>
        </is>
      </c>
      <c r="C6" s="8" t="inlineStr"/>
      <c r="D6" s="9" t="inlineStr"/>
      <c r="E6" s="8" t="inlineStr"/>
      <c r="F6" s="8" t="inlineStr">
        <is>
          <t>全長・全幅・全高・総重量（コンテナ型BESS/PCS）。</t>
        </is>
      </c>
    </row>
    <row r="7" ht="30" customHeight="1">
      <c r="A7" s="9" t="inlineStr">
        <is>
          <t>4</t>
        </is>
      </c>
      <c r="B7" s="8" t="inlineStr">
        <is>
          <t>道路幅員（隘路）</t>
        </is>
      </c>
      <c r="C7" s="8" t="inlineStr"/>
      <c r="D7" s="9" t="inlineStr"/>
      <c r="E7" s="8" t="inlineStr"/>
      <c r="F7" s="8" t="inlineStr">
        <is>
          <t>ルート上の最小幅員・すれ違い可否。</t>
        </is>
      </c>
    </row>
    <row r="8" ht="30" customHeight="1">
      <c r="A8" s="9" t="inlineStr">
        <is>
          <t>5</t>
        </is>
      </c>
      <c r="B8" s="8" t="inlineStr">
        <is>
          <t>重量制限</t>
        </is>
      </c>
      <c r="C8" s="8" t="inlineStr"/>
      <c r="D8" s="9" t="inlineStr"/>
      <c r="E8" s="8" t="inlineStr"/>
      <c r="F8" s="8" t="inlineStr">
        <is>
          <t>橋梁・道路の重量制限（総重量・軸重）。</t>
        </is>
      </c>
    </row>
    <row r="9" ht="30" customHeight="1">
      <c r="A9" s="9" t="inlineStr">
        <is>
          <t>6</t>
        </is>
      </c>
      <c r="B9" s="8" t="inlineStr">
        <is>
          <t>高さ制限</t>
        </is>
      </c>
      <c r="C9" s="8" t="inlineStr"/>
      <c r="D9" s="9" t="inlineStr"/>
      <c r="E9" s="8" t="inlineStr"/>
      <c r="F9" s="8" t="inlineStr">
        <is>
          <t>陸橋・トンネル・標識・架線の高さ制限。</t>
        </is>
      </c>
    </row>
    <row r="10" ht="30" customHeight="1">
      <c r="A10" s="9" t="inlineStr">
        <is>
          <t>7</t>
        </is>
      </c>
      <c r="B10" s="8" t="inlineStr">
        <is>
          <t>トンネル</t>
        </is>
      </c>
      <c r="C10" s="8" t="inlineStr"/>
      <c r="D10" s="9" t="inlineStr"/>
      <c r="E10" s="8" t="inlineStr"/>
      <c r="F10" s="8" t="inlineStr">
        <is>
          <t>トンネルの有無・断面・危険物/長大トンネル規制。</t>
        </is>
      </c>
    </row>
    <row r="11" ht="30" customHeight="1">
      <c r="A11" s="9" t="inlineStr">
        <is>
          <t>8</t>
        </is>
      </c>
      <c r="B11" s="8" t="inlineStr">
        <is>
          <t>橋梁</t>
        </is>
      </c>
      <c r="C11" s="8" t="inlineStr"/>
      <c r="D11" s="9" t="inlineStr"/>
      <c r="E11" s="8" t="inlineStr"/>
      <c r="F11" s="8" t="inlineStr">
        <is>
          <t>橋梁の重量制限・幅員・通行可否。</t>
        </is>
      </c>
    </row>
    <row r="12" ht="30" customHeight="1">
      <c r="A12" s="9" t="inlineStr">
        <is>
          <t>9</t>
        </is>
      </c>
      <c r="B12" s="8" t="inlineStr">
        <is>
          <t>急カーブ・勾配・交差点</t>
        </is>
      </c>
      <c r="C12" s="8" t="inlineStr"/>
      <c r="D12" s="9" t="inlineStr"/>
      <c r="E12" s="8" t="inlineStr"/>
      <c r="F12" s="8" t="inlineStr">
        <is>
          <t>大型トレーラーの転回・内輪差・急勾配の可否。</t>
        </is>
      </c>
    </row>
    <row r="13" ht="30" customHeight="1">
      <c r="A13" s="9" t="inlineStr">
        <is>
          <t>10</t>
        </is>
      </c>
      <c r="B13" s="8" t="inlineStr">
        <is>
          <t>踏切</t>
        </is>
      </c>
      <c r="C13" s="8" t="inlineStr"/>
      <c r="D13" s="9" t="inlineStr"/>
      <c r="E13" s="8" t="inlineStr"/>
      <c r="F13" s="8" t="inlineStr">
        <is>
          <t>踏切の有無・通過可否。</t>
        </is>
      </c>
    </row>
    <row r="14" ht="30" customHeight="1">
      <c r="A14" s="9" t="inlineStr">
        <is>
          <t>11</t>
        </is>
      </c>
      <c r="B14" s="8" t="inlineStr">
        <is>
          <t>特殊車両通行許可</t>
        </is>
      </c>
      <c r="C14" s="8" t="inlineStr"/>
      <c r="D14" s="9" t="inlineStr"/>
      <c r="E14" s="8" t="inlineStr"/>
      <c r="F14" s="8" t="inlineStr">
        <is>
          <t>制限値超過時の特車通行許可の要否（道路法②と連動）。</t>
        </is>
      </c>
    </row>
    <row r="15" ht="30" customHeight="1">
      <c r="A15" s="9" t="inlineStr">
        <is>
          <t>12</t>
        </is>
      </c>
      <c r="B15" s="8" t="inlineStr">
        <is>
          <t>現地進入路・荷下ろし</t>
        </is>
      </c>
      <c r="C15" s="8" t="inlineStr"/>
      <c r="D15" s="9" t="inlineStr"/>
      <c r="E15" s="8" t="inlineStr"/>
      <c r="F15" s="8" t="inlineStr">
        <is>
          <t>敷地進入路の幅員・転回スペース・クレーン設置可否。</t>
        </is>
      </c>
    </row>
    <row r="16" ht="30" customHeight="1">
      <c r="A16" s="9" t="inlineStr">
        <is>
          <t>13</t>
        </is>
      </c>
      <c r="B16" s="8" t="inlineStr">
        <is>
          <t>通行規制・時間帯</t>
        </is>
      </c>
      <c r="C16" s="8" t="inlineStr"/>
      <c r="D16" s="9" t="inlineStr"/>
      <c r="E16" s="8" t="inlineStr"/>
      <c r="F16" s="8" t="inlineStr">
        <is>
          <t>通学路・時間帯規制・冬季通行止め等。</t>
        </is>
      </c>
    </row>
    <row r="17" ht="30" customHeight="1">
      <c r="A17" s="9" t="inlineStr">
        <is>
          <t>14</t>
        </is>
      </c>
      <c r="B17" s="8" t="inlineStr">
        <is>
          <t>総合判定</t>
        </is>
      </c>
      <c r="C17" s="8" t="inlineStr"/>
      <c r="D17" s="9" t="inlineStr"/>
      <c r="E17" s="8" t="inlineStr"/>
      <c r="F17" s="8" t="inlineStr">
        <is>
          <t>輸送可否（可／要対策／不可）と必要対策。</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showGridLines="0" workbookViewId="0">
      <selection activeCell="A1" sqref="A1"/>
    </sheetView>
  </sheetViews>
  <sheetFormatPr baseColWidth="8" defaultRowHeight="15"/>
  <cols>
    <col width="6" customWidth="1" min="1" max="1"/>
    <col width="12" customWidth="1" min="2" max="2"/>
    <col width="28" customWidth="1" min="3" max="3"/>
    <col width="24" customWidth="1" min="4" max="4"/>
    <col width="10" customWidth="1" min="5" max="5"/>
    <col width="40" customWidth="1" min="6" max="6"/>
    <col width="44" customWidth="1" min="7" max="7"/>
  </cols>
  <sheetData>
    <row r="1">
      <c r="A1" s="1" t="inlineStr">
        <is>
          <t xml:space="preserve">系統接続確認 </t>
        </is>
      </c>
    </row>
    <row r="2">
      <c r="A2" s="2" t="inlineStr">
        <is>
          <t>※判定はプルダウン（良/注意/リスク/未確認）。総合評価タブが自動集計します。</t>
        </is>
      </c>
    </row>
    <row r="3">
      <c r="A3" s="7" t="inlineStr">
        <is>
          <t>No.</t>
        </is>
      </c>
      <c r="B3" s="7" t="inlineStr">
        <is>
          <t>区分</t>
        </is>
      </c>
      <c r="C3" s="7" t="inlineStr">
        <is>
          <t>確認項目</t>
        </is>
      </c>
      <c r="D3" s="7" t="inlineStr">
        <is>
          <t>値・入力</t>
        </is>
      </c>
      <c r="E3" s="7" t="inlineStr">
        <is>
          <t>判定</t>
        </is>
      </c>
      <c r="F3" s="7" t="inlineStr">
        <is>
          <t>証跡（リンク）</t>
        </is>
      </c>
      <c r="G3" s="7" t="inlineStr">
        <is>
          <t>コメント</t>
        </is>
      </c>
    </row>
    <row r="4" ht="32" customHeight="1">
      <c r="A4" s="9" t="inlineStr">
        <is>
          <t>1</t>
        </is>
      </c>
      <c r="B4" s="9" t="inlineStr">
        <is>
          <t>系統</t>
        </is>
      </c>
      <c r="C4" s="8" t="inlineStr">
        <is>
          <t>公表空き容量（増強要否）</t>
        </is>
      </c>
      <c r="D4" s="27" t="inlineStr">
        <is>
          <t>0MW（芸北変電所・上位系考慮/当該設備とも0）</t>
        </is>
      </c>
      <c r="E4" s="28" t="inlineStr">
        <is>
          <t>リスク</t>
        </is>
      </c>
      <c r="F4" s="16" t="inlineStr">
        <is>
          <t>確認リンク</t>
        </is>
      </c>
      <c r="G4" s="8" t="inlineStr">
        <is>
          <t>空きあり=良／要確認=注意／空きなし・不明=リスク。マップは申込ベースで埋まるため最新性に注意。 / 最寄：芸北変電所 約4.1km（110kV／二次6kV×2台・22kV×1台／空容量0／N-1電制 不可♯3／出力制御あり）。社内スコアリングDB(2026-08-18)のゲート条件（空容量≦0かつN-1電制不可）に該当し「除外」ランク・総合17点。次点の下山変電所 約6.1kmも同条件。ただし下記No.2のとおり中国電力NWの蓄電池接続検討の回答実績では芸北系に増強回答なし。公表空容量は特高側の値のため、高圧連系の可否は接続検討で確認が必要。※芸北変電所の座標はGoogle Places名称一致による推定のため距離は目安。</t>
        </is>
      </c>
    </row>
    <row r="5" ht="32" customHeight="1">
      <c r="A5" s="9" t="inlineStr">
        <is>
          <t>2</t>
        </is>
      </c>
      <c r="B5" s="9" t="inlineStr">
        <is>
          <t>系統</t>
        </is>
      </c>
      <c r="C5" s="8" t="inlineStr">
        <is>
          <t>先行申込案件の状況</t>
        </is>
      </c>
      <c r="D5" s="27" t="inlineStr">
        <is>
          <t>芸北系＝増強回答実績なし（当該設備）</t>
        </is>
      </c>
      <c r="E5" s="28" t="inlineStr">
        <is>
          <t>注意</t>
        </is>
      </c>
      <c r="F5" s="16" t="inlineStr">
        <is>
          <t>確認リンク</t>
        </is>
      </c>
      <c r="G5" s="8" t="inlineStr">
        <is>
          <t>先着優先のため、検討中に容量を先取りされるリスクを確認。 / 中国電力NW「蓄電池設備の接続検討で早期連系追加対策・系統増強が必要と回答したことのある設備」(更新2026-07-17)より。芸北変電所（広③S13-1/-2）・芸北支線（広③L20／110kV・2回線）は当該設備として早期連系追加対策・系統増強とも回答実績なし。増強が必要と回答された上位系は基幹系統の基S23-2の1件のみ。対して下山変電所（広③S12）・下山線（広③L18／110kV・1回線）は上位系に基S10-1/基S11/基S13/基L22に加え広③L10滝山川線が並び、滝山川線は当該設備として増強〇の実績あり。→ 同じ北広島町でも芸北系の方が制約が軽く、回線数（2回線）でも有利。才乙配電塔（広③H3／22-6kV）も上位系は基S23-2のみで芸北系と同一。※同資料は回答実績を示すもので連系可否を保証しない。</t>
        </is>
      </c>
    </row>
    <row r="6" ht="32" customHeight="1">
      <c r="A6" s="9" t="inlineStr">
        <is>
          <t>3</t>
        </is>
      </c>
      <c r="B6" s="9" t="inlineStr">
        <is>
          <t>系統</t>
        </is>
      </c>
      <c r="C6" s="8" t="inlineStr">
        <is>
          <t>想定電圧階級</t>
        </is>
      </c>
      <c r="D6" s="27" t="inlineStr">
        <is>
          <t>110kV（芸北SS二次は6kV×2台）</t>
        </is>
      </c>
      <c r="E6" s="28" t="inlineStr">
        <is>
          <t>注意</t>
        </is>
      </c>
      <c r="F6" s="16" t="inlineStr">
        <is>
          <t>確認リンク</t>
        </is>
      </c>
      <c r="G6" s="8" t="inlineStr">
        <is>
          <t>6.6〜33kV=良／66kV=注意／154kV以上=リスク（系統影響評価で回答が長期化）。 / 芸北変電所は110/22kV×1台、110/6kV×2台。6kVバンクがあるため高圧2MW連系の受け皿自体は存在する。特高側の公表空容量は0のため、配電線側の空きを個別に確認すること。</t>
        </is>
      </c>
    </row>
    <row r="7" ht="32" customHeight="1">
      <c r="A7" s="9" t="inlineStr">
        <is>
          <t>4</t>
        </is>
      </c>
      <c r="B7" s="9" t="inlineStr">
        <is>
          <t>系統</t>
        </is>
      </c>
      <c r="C7" s="8" t="inlineStr">
        <is>
          <t>ノンファーム型接続該当</t>
        </is>
      </c>
      <c r="D7" s="27" t="inlineStr">
        <is>
          <t>出力制御あり（中国）</t>
        </is>
      </c>
      <c r="E7" s="28" t="inlineStr">
        <is>
          <t>注意</t>
        </is>
      </c>
      <c r="F7" s="16" t="inlineStr">
        <is>
          <t>確認リンク</t>
        </is>
      </c>
      <c r="G7" s="8" t="inlineStr">
        <is>
          <t>該当時は出力制御リスクを事業収支に織り込む（注意）。 / 中国エリア。ノンファーム型接続の対象系統かを中国電力ネットワークへ確認。</t>
        </is>
      </c>
    </row>
    <row r="8" ht="32" customHeight="1">
      <c r="A8" s="9" t="inlineStr">
        <is>
          <t>5</t>
        </is>
      </c>
      <c r="B8" s="9" t="inlineStr">
        <is>
          <t>系統</t>
        </is>
      </c>
      <c r="C8" s="8" t="inlineStr">
        <is>
          <t>検討区分（簡易/詳細）の見込み</t>
        </is>
      </c>
      <c r="D8" s="8" t="inlineStr"/>
      <c r="E8" s="28" t="inlineStr">
        <is>
          <t>注意</t>
        </is>
      </c>
      <c r="F8" s="8" t="inlineStr"/>
      <c r="G8" s="8" t="inlineStr">
        <is>
          <t>簡易=良／詳細の可能性=注意／不明=リスク。TSOへ事前ヒアリング推奨。 / 上位系（基S23-2）で増強回答の実績があるため、詳細検討に回る可能性を想定。中国電力NWへの事前ヒアリングを推奨。</t>
        </is>
      </c>
    </row>
    <row r="9" ht="32" customHeight="1">
      <c r="A9" s="9" t="inlineStr">
        <is>
          <t>6</t>
        </is>
      </c>
      <c r="B9" s="9" t="inlineStr">
        <is>
          <t>スケジュール</t>
        </is>
      </c>
      <c r="C9" s="8" t="inlineStr">
        <is>
          <t>系統連系検討の申込状況</t>
        </is>
      </c>
      <c r="D9" s="8" t="inlineStr"/>
      <c r="E9" s="17" t="inlineStr">
        <is>
          <t>未確認</t>
        </is>
      </c>
      <c r="F9" s="8" t="inlineStr"/>
      <c r="G9" s="8" t="inlineStr">
        <is>
          <t>回答受取済み・申込済み=良／未申込=注意／未定=リスク。申込〜回答は通常3〜6ヶ月。</t>
        </is>
      </c>
    </row>
    <row r="10" ht="32" customHeight="1">
      <c r="A10" s="9" t="inlineStr">
        <is>
          <t>7</t>
        </is>
      </c>
      <c r="B10" s="9" t="inlineStr">
        <is>
          <t>スケジュール</t>
        </is>
      </c>
      <c r="C10" s="8" t="inlineStr">
        <is>
          <t>農地転用・開発許可の要否</t>
        </is>
      </c>
      <c r="D10" s="8" t="inlineStr"/>
      <c r="E10" s="17" t="inlineStr">
        <is>
          <t>未確認</t>
        </is>
      </c>
      <c r="F10" s="8" t="inlineStr"/>
      <c r="G10" s="8" t="inlineStr">
        <is>
          <t>不要=良／申請中=注意／必要・未着手=リスク。許認可No.35/36と連動。</t>
        </is>
      </c>
    </row>
    <row r="11" ht="32" customHeight="1">
      <c r="A11" s="9" t="inlineStr">
        <is>
          <t>8</t>
        </is>
      </c>
      <c r="B11" s="9" t="inlineStr">
        <is>
          <t>スケジュール</t>
        </is>
      </c>
      <c r="C11" s="8" t="inlineStr">
        <is>
          <t>機器（BESS/PCS）調達見通し</t>
        </is>
      </c>
      <c r="D11" s="8" t="inlineStr"/>
      <c r="E11" s="17" t="inlineStr">
        <is>
          <t>未確認</t>
        </is>
      </c>
      <c r="F11" s="8" t="inlineStr"/>
      <c r="G11" s="8" t="inlineStr">
        <is>
          <t>確保済み=良／交渉中=注意／未定=リスク。</t>
        </is>
      </c>
    </row>
    <row r="12" ht="32" customHeight="1">
      <c r="A12" s="9" t="inlineStr">
        <is>
          <t>9</t>
        </is>
      </c>
      <c r="B12" s="9" t="inlineStr">
        <is>
          <t>コスト</t>
        </is>
      </c>
      <c r="C12" s="8" t="inlineStr">
        <is>
          <t>接続工事費負担金（万円）</t>
        </is>
      </c>
      <c r="D12" s="8" t="inlineStr"/>
      <c r="E12" s="17" t="inlineStr">
        <is>
          <t>未確認</t>
        </is>
      </c>
      <c r="F12" s="8" t="inlineStr"/>
      <c r="G12" s="8" t="inlineStr">
        <is>
          <t>目安1,000万円以下=良／〜3,000万円=注意／超過=リスク（増強の可能性大）。</t>
        </is>
      </c>
    </row>
    <row r="13" ht="32" customHeight="1">
      <c r="A13" s="9" t="inlineStr">
        <is>
          <t>10</t>
        </is>
      </c>
      <c r="B13" s="9" t="inlineStr">
        <is>
          <t>コスト</t>
        </is>
      </c>
      <c r="C13" s="8" t="inlineStr">
        <is>
          <t>特定負担の有無</t>
        </is>
      </c>
      <c r="D13" s="8" t="inlineStr"/>
      <c r="E13" s="17" t="inlineStr">
        <is>
          <t>未確認</t>
        </is>
      </c>
      <c r="F13" s="8" t="inlineStr"/>
      <c r="G13" s="8" t="inlineStr">
        <is>
          <t>なし=良／一部あり=注意／あり（系統増強）=リスク。</t>
        </is>
      </c>
    </row>
    <row r="14" ht="32" customHeight="1">
      <c r="A14" s="9" t="inlineStr">
        <is>
          <t>11</t>
        </is>
      </c>
      <c r="B14" s="9" t="inlineStr">
        <is>
          <t>コスト</t>
        </is>
      </c>
      <c r="C14" s="8" t="inlineStr">
        <is>
          <t>造成工事の必要度</t>
        </is>
      </c>
      <c r="D14" s="8" t="inlineStr"/>
      <c r="E14" s="17" t="inlineStr">
        <is>
          <t>未確認</t>
        </is>
      </c>
      <c r="F14" s="8" t="inlineStr"/>
      <c r="G14" s="8" t="inlineStr">
        <is>
          <t>軽微=良／中程度=注意／大規模=リスク。</t>
        </is>
      </c>
    </row>
    <row r="15" ht="32" customHeight="1">
      <c r="A15" s="9" t="inlineStr">
        <is>
          <t>12</t>
        </is>
      </c>
      <c r="B15" s="9" t="inlineStr">
        <is>
          <t>コスト</t>
        </is>
      </c>
      <c r="C15" s="8" t="inlineStr">
        <is>
          <t>地権者契約状況</t>
        </is>
      </c>
      <c r="D15" s="8" t="inlineStr"/>
      <c r="E15" s="17" t="inlineStr">
        <is>
          <t>未確認</t>
        </is>
      </c>
      <c r="F15" s="8" t="inlineStr"/>
      <c r="G15" s="8" t="inlineStr">
        <is>
          <t>確定（解除条項あり）=良／交渉中=注意／未着手=リスク。接続不可時の白紙解除特約を必ず確認。</t>
        </is>
      </c>
    </row>
  </sheetData>
  <dataValidations count="1">
    <dataValidation sqref="E4 E5 E6 E7 E8 E9 E10 E11 E12 E13 E14 E15" showDropDown="0" showInputMessage="0" showErrorMessage="0" allowBlank="1" type="list">
      <formula1>"良,注意,リスク,未確認"</formula1>
    </dataValidation>
  </dataValidation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2026-09-07T11:33:15Z</dcterms:created>
  <dcterms:modified xsi:type="dcterms:W3CDTF">2026-09-07T11:33:15Z</dcterms:modified>
</cp:coreProperties>
</file>