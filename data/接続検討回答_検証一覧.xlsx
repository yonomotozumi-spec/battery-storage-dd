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回答一覧" sheetId="1" r:id="rId5"/>
    <sheet state="visible" name="凡例" sheetId="2" r:id="rId6"/>
    <sheet state="visible" name="要確認" sheetId="3" r:id="rId7"/>
    <sheet state="visible" name="集計" sheetId="4" r:id="rId8"/>
    <sheet state="visible" name="7月メモ比較" sheetId="5" r:id="rId9"/>
    <sheet state="visible" name="案件フォルダ" sheetId="6" r:id="rId10"/>
  </sheets>
  <definedNames>
    <definedName hidden="1" localSheetId="0" name="_xlnm._FilterDatabase">'回答一覧'!$A$1:$AO$125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Q1">
      <text>
        <t xml:space="preserve">税抜の記載は×1.1で税込換算（消費税10%の前提）</t>
      </text>
    </comment>
  </commentList>
</comments>
</file>

<file path=xl/sharedStrings.xml><?xml version="1.0" encoding="utf-8"?>
<sst xmlns="http://schemas.openxmlformats.org/spreadsheetml/2006/main" count="4371" uniqueCount="2056">
  <si>
    <t>No</t>
  </si>
  <si>
    <t>接続検討回答 検証一覧</t>
  </si>
  <si>
    <t>負担金帯（税込）</t>
  </si>
  <si>
    <t>回答一覧No</t>
  </si>
  <si>
    <t>作成日</t>
  </si>
  <si>
    <t>2026-10-01（2026-10-05 追記）</t>
  </si>
  <si>
    <t>出典</t>
  </si>
  <si>
    <t>Googleドライブ「10_案件別資料」(フォルダID 1EPmWUK4lLBGkOlqCMv0b9XRxa3kipsIt) 配下の回答書をAIで読取（No1〜45）。2026-10-05追記: 「02_案件資料（PowerX様）」(フォルダID 1HR5tWnhE-0XOhtQnFoUVPtwMLtKMTdw-) 配下の案件別フォルダ（進行中36・【保留】61・【中止】115の計212フォルダ）にある接続検討回答書・再接続検討回答書をAIで読取（No46〜124、79件）</t>
  </si>
  <si>
    <t>件数</t>
  </si>
  <si>
    <t>未取得</t>
  </si>
  <si>
    <t>平均工期(月)</t>
  </si>
  <si>
    <t>なし（フォルダID 1HR5tWnhE-0XOhtQnFoUVPtwMLtKMTdw- は2026-10-05に読取済。Googleドライブ連携では読めないため、Chromeで開いているアカウント経由で読取）。本文を読めなかったPDFは0件。中国電力NWの回答書のうち15件は画像のみのPDF（テキスト層なし、原本はパスワード付き）で文字を機械抽出できないため、ページ画像を画面に表示して目視で読み取り、読取信頼度をmediumとした（備考に明記、要確認シートにも掲載）</t>
  </si>
  <si>
    <t>シート</t>
  </si>
  <si>
    <t>内容</t>
  </si>
  <si>
    <t>回答一覧</t>
  </si>
  <si>
    <t>回答書1件=1行。青字=AI読取値（原本と照合する対象）。黄色セル=検証者が入力</t>
  </si>
  <si>
    <t>〜500万</t>
  </si>
  <si>
    <t>要確認</t>
  </si>
  <si>
    <t>未読・読取信頼度low・負担金/工期の欠落・7月メモとの差異がある行の抜粋</t>
  </si>
  <si>
    <t>集計</t>
  </si>
  <si>
    <t>負担金帯・工期帯・電力会社別の件数（回答一覧から数式で自動集計）</t>
  </si>
  <si>
    <t>7月メモ比較</t>
  </si>
  <si>
    <t>2026-07-24分析メモの値と今回読取値の突合</t>
  </si>
  <si>
    <t>案件フォルダ</t>
  </si>
  <si>
    <t>10_案件別資料の48案件フォルダ＋02_案件資料（PowerX様）の212案件フォルダの回答書有無（追記分は 進行中→保留→中止 の順）</t>
  </si>
  <si>
    <t>案件番号</t>
  </si>
  <si>
    <t>案件名</t>
  </si>
  <si>
    <t>列の見方</t>
  </si>
  <si>
    <t>回答種別</t>
  </si>
  <si>
    <t>電力会社</t>
  </si>
  <si>
    <t>負担金(税込・万円)</t>
  </si>
  <si>
    <t>税抜の記載は×1.1で税込換算（数式）。税区分不明はそのまま</t>
  </si>
  <si>
    <t>回答日</t>
  </si>
  <si>
    <t>負担金帯</t>
  </si>
  <si>
    <t>申込日</t>
  </si>
  <si>
    <t>〜500万 / 500〜1,000万 / 1,000〜3,000万 / 3,000万〜 / 不明</t>
  </si>
  <si>
    <t>申込者</t>
  </si>
  <si>
    <t>工期帯</t>
  </si>
  <si>
    <t>設置場所</t>
  </si>
  <si>
    <t>〜6ヶ月 / 7〜12ヶ月 / 13〜24ヶ月 / 25ヶ月〜 / 不明（起点は「工期の原文」列で確認）</t>
  </si>
  <si>
    <t>集計対象</t>
  </si>
  <si>
    <t>放電kW</t>
  </si>
  <si>
    <t>○=案件(サイト)ごとの最新の回答（接続検討/再接続検討/契約申込で負担金あり）。集計シートは○のみを数える</t>
  </si>
  <si>
    <t>充電kW</t>
  </si>
  <si>
    <t>律速・可否メモ</t>
  </si>
  <si>
    <t>連系不可・運開希望日に間に合わず・工期と別にバンク逆潮流/上位系対策の待ち がある回答を自動表示</t>
  </si>
  <si>
    <t>電圧</t>
  </si>
  <si>
    <t>自動チェック</t>
  </si>
  <si>
    <t>負担金なし・工期なし・税区分不明・信頼度low・未読 を自動表示</t>
  </si>
  <si>
    <t>変電所</t>
  </si>
  <si>
    <t>検証ステータス</t>
  </si>
  <si>
    <t>黄色セルに 未確認 / 確認済 / 要修正 をプルダウンで入力</t>
  </si>
  <si>
    <t>配電線/送電線</t>
  </si>
  <si>
    <t>注意</t>
  </si>
  <si>
    <t>負担金(円)</t>
  </si>
  <si>
    <t>AI読取値はスクリーニング用。社外提出や判断の前に必ず原本PDFで確認すること</t>
  </si>
  <si>
    <t>税区分</t>
  </si>
  <si>
    <t>追記分（No46以降）の書き方</t>
  </si>
  <si>
    <t>フォルダ名のまま。【保留】【中止】フォルダ内の案件は「【保留】/…」「【中止】/…」と表記し、備考の先頭にも「状態: 進行中／保留／中止」を記載</t>
  </si>
  <si>
    <t>重複ファイルの扱い</t>
  </si>
  <si>
    <t>同じ回答書が複数の名前で保存されている場合は、受付番号つきの「【接続検討回答書】No…（受付番号）.pdf」「【再接続検討回答書】No…」を正として1行にした。「4.」「4-1.」などで始まる写し、原本の「PX…_【秘】…」、[OLD]の差替前は行にしていない</t>
  </si>
  <si>
    <t>放電kW／充電kW</t>
  </si>
  <si>
    <t>放電kW＝最大受電電力、充電kW＝最大自家消費電力（回答書の記載）</t>
  </si>
  <si>
    <t>工期(月)</t>
  </si>
  <si>
    <t>東北電力は配電設備(工事)の所要工期を記載。上位系統増強工事・バンク逆潮流対策・変電設備工事の工期や完了予定は「工期の原文」「上位系統増強」に記載し、配電設備より長い／遅い場合は律速・可否メモに「工期と別にバンク/上位系対策待ち」を表示</t>
  </si>
  <si>
    <t>負担金の原文</t>
  </si>
  <si>
    <t>運開見込み（東北・中部）</t>
  </si>
  <si>
    <t>保証金(円)</t>
  </si>
  <si>
    <t>回答書に希望日への可否の記載がないため、回答日＋工期(月)の単純計算（契約手続き期間は含まず）が運用開始希望日の月を超える場合に「運開希望日に間に合わず」とした</t>
  </si>
  <si>
    <t>主な対策工事（東北）</t>
  </si>
  <si>
    <t>対象設備表の項目と数量を転記。数量が「／」で2つ並ぶものは表の左→右（新設／建替・張替・取替／改造・改修・撤去）の順で、列の別は原本の表で確認すること</t>
  </si>
  <si>
    <t>負担金(円)（東北）</t>
  </si>
  <si>
    <t>工期の原文</t>
  </si>
  <si>
    <t>別紙「概算工事費及び工事費負担金の総額」の工事費負担金の総額（百万円単位・税込）を円に換算。上位系統増強が必要な案件は一般負担の上限超過分を含むため数十億円になるものがある</t>
  </si>
  <si>
    <t>運開見込み</t>
  </si>
  <si>
    <t>読取信頼度（追記分）</t>
  </si>
  <si>
    <t>主な対策工事</t>
  </si>
  <si>
    <t>high＝PDFのテキストを機械抽出して読取。medium＝画像のみのPDFをページ画像の目視で読取（数字の読み違いの可能性があるため優先して原本照合）。low＝本文を読めなかったもの</t>
  </si>
  <si>
    <t>上位系統増強</t>
  </si>
  <si>
    <t>集計対象（追記分）</t>
  </si>
  <si>
    <t>案件フォルダごとに、負担金の記載がある最新の接続検討回答／再接続検討を○とした（保留・中止の案件も含む。連系否の回答は記載の負担金概算で集計）。フォルダ名に「※無効」とある回答は○にしていない</t>
  </si>
  <si>
    <t>連系条件</t>
  </si>
  <si>
    <t>有効期限</t>
  </si>
  <si>
    <t>読取信頼度</t>
  </si>
  <si>
    <t>未読理由</t>
  </si>
  <si>
    <t>備考</t>
  </si>
  <si>
    <t>ファイル名</t>
  </si>
  <si>
    <t>7月メモ差異</t>
  </si>
  <si>
    <t>理由</t>
  </si>
  <si>
    <t>原本リンク</t>
  </si>
  <si>
    <t>検証者</t>
  </si>
  <si>
    <t>検証コメント</t>
  </si>
  <si>
    <t>パス</t>
  </si>
  <si>
    <t>0916_島根県浜田市宇野町1819-1他3筆（エクスパワー）</t>
  </si>
  <si>
    <t>【秘】接続検討回答書 （G松江320）.pdf</t>
  </si>
  <si>
    <t>運開希望日に間に合わず</t>
  </si>
  <si>
    <t>開く</t>
  </si>
  <si>
    <t>0794</t>
  </si>
  <si>
    <t>0794_三重県名張市瀬古口（PX）</t>
  </si>
  <si>
    <t>接続検討回答</t>
  </si>
  <si>
    <t>中部</t>
  </si>
  <si>
    <t>2025-08-18</t>
  </si>
  <si>
    <t>2025-05-28</t>
  </si>
  <si>
    <t>株式会社パワーエックス（受付番号AAD315770609）</t>
  </si>
  <si>
    <t>三重県名張市瀬古口１１－４他２筆（発電者名称：瀬古口変電所隣接地蓄電）</t>
  </si>
  <si>
    <t>高圧（高圧版回答書）</t>
  </si>
  <si>
    <t>瀬古口変電所</t>
  </si>
  <si>
    <t>瀬古口変電所F35（65ﾈ283～西に約100mより分岐し構内柱と接続）</t>
  </si>
  <si>
    <t>税込</t>
  </si>
  <si>
    <t>500〜1,000万</t>
  </si>
  <si>
    <t>916（エクスパワー）_発電設備等に関する契約申込みお回答について（承諾）_中国電力NW_20260707.pdf</t>
  </si>
  <si>
    <t>工期(月)が読めていない</t>
  </si>
  <si>
    <t>1,000〜3,000万</t>
  </si>
  <si>
    <t>0919_山口県周防大島町久賀2086-4（エクスパワー）</t>
  </si>
  <si>
    <t>接続検討回答_#0919_山口県大島郡周防大島町久賀2086-4.pdf</t>
  </si>
  <si>
    <t>未読: スキャン画像PDF（約7MB）: read_file_contentでは本文テキスト化されず（グラフ断片のみ）、download_file_contentはMCPセッション切断で2回失敗 / 読取信頼度low</t>
  </si>
  <si>
    <t>工事費負担金総額3,418.3千円（消費税相当額310.8千円を含む）。税抜3,107.6千円＝架空線工事2,955.6千円＋計量設備工事152.0千円。概算工事費も同額。</t>
  </si>
  <si>
    <t>1092_三重県伊勢市特高</t>
  </si>
  <si>
    <t>接続検討回答書【株式会社パワーエックスさま（三重伊勢蓄電所）】.pdf</t>
  </si>
  <si>
    <t>工事費負担金の入金後 6ヶ月程度（契約手続き期間は含まず）</t>
  </si>
  <si>
    <t>アクセス設備の運用開始希望日 2027年1月1日（連系可否：可）</t>
  </si>
  <si>
    <t>電柱新設4本、高圧線新設408m、高圧引込線60m（60㎟OCW 送電容量240A）、計量器/VCT・通信端末</t>
  </si>
  <si>
    <t>上位系統増強工事なし（記載なし）</t>
  </si>
  <si>
    <t>3,000万〜</t>
  </si>
  <si>
    <t>ノンファーム型接続適用（出力制御量に影響：西部変電所500/275kV変圧器、中勢変電所275/77kV変圧器、77kV中勢青山線）。基幹系は再給電方式（一定の順序）。PCS力率一定制御（放電/充電とも力率100%）、出力変化速度0→100%で5秒以上・1ステップ10%以下、PCS手動復帰設定、単独運転検出機能設定変更。中勢変電所作業停止時等の抑制。N-1電制本格適用。</t>
  </si>
  <si>
    <t>接続検討の回答日から1年を経過した場合は契約申込不可</t>
  </si>
  <si>
    <t>high</t>
  </si>
  <si>
    <t>系統連系保証金170千円（消費税等相当額15.4千円を含む）。最大自家消費電力1,999kWをcapacity_kw_chargeに記載。後続の契約申込回答(KK4763)あり（別レコード）。</t>
  </si>
  <si>
    <t>－</t>
  </si>
  <si>
    <t>1113_茨城県行方市浜1985-1,1985-3,1986-3（合同会社高塚）</t>
  </si>
  <si>
    <t>接続検討回答.pdf</t>
  </si>
  <si>
    <t>不明</t>
  </si>
  <si>
    <t>00_取り下げ、進行不可/1123_北海道道厚岸郡浜中町姉別南三線(エクスパワー）)</t>
  </si>
  <si>
    <t>03_接続検討回答書（約款改訂に係る更新）_【託2024_1167】_1.pdf</t>
  </si>
  <si>
    <t>未確認</t>
  </si>
  <si>
    <t>1129_崇徳学園入野グラウンド(大柿産業)</t>
  </si>
  <si>
    <t>【秘】接続検討回答書(G東広島654).pdf</t>
  </si>
  <si>
    <t>合計</t>
  </si>
  <si>
    <t>キーワード</t>
  </si>
  <si>
    <t>7月メモの案件</t>
  </si>
  <si>
    <t>メモ負担金(円)</t>
  </si>
  <si>
    <t>メモ税区分</t>
  </si>
  <si>
    <t>メモ工期(月)</t>
  </si>
  <si>
    <t>メモ備考</t>
  </si>
  <si>
    <t>平均負担金(税込・万円)</t>
  </si>
  <si>
    <t>今回の該当行(回答一覧No)</t>
  </si>
  <si>
    <t>1136_兵庫県高砂市中筋3丁目780番（藤栄建設）</t>
  </si>
  <si>
    <t>今回の突合結果</t>
  </si>
  <si>
    <t>接続検討申込みに対する回答について.pdf</t>
  </si>
  <si>
    <t>〜6ヶ月</t>
  </si>
  <si>
    <t>接続検討回答書.pdf</t>
  </si>
  <si>
    <t>鹿屋</t>
  </si>
  <si>
    <t>11_接続回答/接続検討回答書.pdf</t>
  </si>
  <si>
    <t>鹿児島県鹿屋市上小原</t>
  </si>
  <si>
    <t>契約申込回答</t>
  </si>
  <si>
    <t>2026-04-24</t>
  </si>
  <si>
    <t>株式会社パワーエックス（受付番号KK4763）</t>
  </si>
  <si>
    <t>三重県名張市瀬古口11-4 他2筆（発電者名称：株式会社パワーエックス 瀬古口変電所隣接地蓄電所）</t>
  </si>
  <si>
    <t>高圧</t>
  </si>
  <si>
    <t>瀬古口変電所（基幹系変電所：中勢275/77変電所）</t>
  </si>
  <si>
    <t>瀬古口変電所F35（65ﾈ28ｱより分岐し構内柱と接続）</t>
  </si>
  <si>
    <t>付箋メモ・要再確認</t>
  </si>
  <si>
    <t>今回フォルダに無し</t>
  </si>
  <si>
    <t>由仁</t>
  </si>
  <si>
    <t>北海道由仁町(案件1135)</t>
  </si>
  <si>
    <t>17</t>
  </si>
  <si>
    <t>比較不可(片方に値なし)（メモ:北海道由仁町(案件1135)）</t>
  </si>
  <si>
    <t>工事費負担金3,418,334円（消費税等相当額310,757円を含む）。税抜3,107,577円＝架空線工事2,955,582円＋計量設備工事151,995円。既に支払った系統連系保証金を差し引いた額を請求。</t>
  </si>
  <si>
    <t>神崎</t>
  </si>
  <si>
    <t>大分市神崎(東盛)</t>
  </si>
  <si>
    <t>工事費負担金の入金後 10ヶ月程度（契約手続き期間は含まず。別紙「所要工期について」：架空線・計器・上位系統の工程10カ月）</t>
  </si>
  <si>
    <t>久山</t>
  </si>
  <si>
    <t>アクセス設備の運用開始希望日 2026年8月1日（連系可否：可）</t>
  </si>
  <si>
    <t>福岡県久山町(KMP)</t>
  </si>
  <si>
    <t>電柱4本、高圧線1548m、高圧引込線60m（OC-W60mm2 送電容量240A）、計量器・VCT等</t>
  </si>
  <si>
    <t>上位系統増強工事なし（工程表に上位系統欄あるが工事費計上なし）</t>
  </si>
  <si>
    <t>税抜</t>
  </si>
  <si>
    <t>ノンファーム型接続適用（西部変電所500/275kV変圧器、中勢変電所275/77kV変圧器、77kV中勢青山線）。再給電方式。PCS力率一定制御（力率1.00）、PCS手動復帰設定、単独運転検出機能設定変更、保安通信用電話設備要確認。中勢変電所作業停止時等の抑制。N-1電制本格適用。発電側課金：配電用変電所 瀬古口変電所。</t>
  </si>
  <si>
    <t>喜多方</t>
  </si>
  <si>
    <t>接続検討回答（2025-08-18、工期6ヶ月・高圧線408m）からの本回答（連系承諾）。負担金額はほぼ同額だが工期は10ヶ月程度、高圧線数量1548mに変更。14_接続検討要否確認フォルダに追加の要否確認依頼書(2026-05)あり（回答なし）。</t>
  </si>
  <si>
    <t>喜多方市松山 No071</t>
  </si>
  <si>
    <t>1147_愛知県岡崎市板田町東流石（中部産業）</t>
  </si>
  <si>
    <t>○</t>
  </si>
  <si>
    <t>接続検討回答書（株式会社パワーエックス　PX愛知県岡崎市蓄電所）.pdf</t>
  </si>
  <si>
    <t>上位系統増強10年2ヶ月</t>
  </si>
  <si>
    <t>工期と別にバンク/上位系対策待ち</t>
  </si>
  <si>
    <t>74, 75</t>
  </si>
  <si>
    <t>メモは再接続検討回答(A64225404)側に対応（メモ:喜多方市松山 No071） | 工期一致(7ヶ月)・上位系統増強10年2ヶ月も一致。負担金はメモに値なし（メモ:喜多方市松山 No071）</t>
  </si>
  <si>
    <t>崇徳</t>
  </si>
  <si>
    <t>東広島654(1129崇徳)</t>
  </si>
  <si>
    <t>7月時点 未読(PDFパスワード付)</t>
  </si>
  <si>
    <t>15, 16</t>
  </si>
  <si>
    <t>比較不可(片方に値なし)（メモ:東広島654(1129崇徳)） | 比較不可(片方に値なし)（メモ:東広島654(1129崇徳)）</t>
  </si>
  <si>
    <t>関市</t>
  </si>
  <si>
    <t>岐阜県関市小屋名(B646G)</t>
  </si>
  <si>
    <t>保証金31万円</t>
  </si>
  <si>
    <t>柏原</t>
  </si>
  <si>
    <t>長野県信濃町 柏原2390-1</t>
  </si>
  <si>
    <t>保証金42.5万</t>
  </si>
  <si>
    <t>野尻</t>
  </si>
  <si>
    <t>7〜12ヶ月</t>
  </si>
  <si>
    <t>長野県信濃町 野尻蓄電所</t>
  </si>
  <si>
    <t>吉井</t>
  </si>
  <si>
    <t>群馬県高崎市吉井町(特高)</t>
  </si>
  <si>
    <t>1168_兵庫県高砂市伊保四丁目５１６番</t>
  </si>
  <si>
    <t>02 契約申込回答書（KK4763）.pdf</t>
  </si>
  <si>
    <t>接続検討申込に対する回答_兵庫高砂伊保四丁目蓄電所.pdf</t>
  </si>
  <si>
    <t>保証金2,551万</t>
  </si>
  <si>
    <t>13_本回答/02 契約申込回答書（KK4763）.pdf</t>
  </si>
  <si>
    <t>0876</t>
  </si>
  <si>
    <t>0876_埼玉県本庄市児玉町入浅見字東日延766（アスソラ）</t>
  </si>
  <si>
    <t>東京</t>
  </si>
  <si>
    <t>2025-06-18</t>
  </si>
  <si>
    <t>2025-03-24</t>
  </si>
  <si>
    <t>株式会社パワーエックス（本庄児玉蓄電所）</t>
  </si>
  <si>
    <t>埼玉県本庄市児玉町入浅見字東日延766番</t>
  </si>
  <si>
    <t>6.6kV</t>
  </si>
  <si>
    <t>共和変電所（1B, 基幹:新岡部変電所）</t>
  </si>
  <si>
    <t>6kV横手線</t>
  </si>
  <si>
    <t>工事費負担金の総額581.77万円(消費税等相当額52.89万円含む)、税抜528.88万円（架空線501.00/通信3.65/計量24.23）。概算工事費総額612.44万円(税込)</t>
  </si>
  <si>
    <t>工事費負担金の入金後 5ヶ月程度（受給契約申込後からは13ヶ月程度）</t>
  </si>
  <si>
    <t>希望2026年3月1日</t>
  </si>
  <si>
    <t>架空引込線アルミ120×3条×5m、開閉器新設2台・撤去2台、変圧器新設1台、VCT・計量器・電力用保安通信設備</t>
  </si>
  <si>
    <t>なし（バンク逆潮流対策は完了済み、上位系統対策0円）</t>
  </si>
  <si>
    <t>ノンファーム型接続(新岡部500/154変圧器)、再給電方式、運転力率 遅れ90%一定、N-1電制本格適用、先行事業者の設備対策工事前提</t>
  </si>
  <si>
    <t>系統連系保証金290千円(税込)。その後2026-02-02付「系統状況変化による再接続検討のお願い」で空き容量消失、発調申込取下げ→再接続検討(JK25GHZ042932)へ。同一ファイルのコピー(1lqVArpJi7bOcqsjyvYu8iIr6lnAAi9MM)あり</t>
  </si>
  <si>
    <t>13〜24ヶ月</t>
  </si>
  <si>
    <t>確認要_1169_島根県邑智郡梁瀬（石見簗瀬駅）（JR西日本）</t>
  </si>
  <si>
    <t>【秘】接続検討回答書（G松江691）</t>
  </si>
  <si>
    <t>接続検討の回答について【JK24GHZ024878】.pdf</t>
  </si>
  <si>
    <t>01_接続検討/接続検討の回答について【JK24GHZ024878】.pdf</t>
  </si>
  <si>
    <t>その他</t>
  </si>
  <si>
    <t>2026-02-02</t>
  </si>
  <si>
    <t>確認要_1186_島根県邑智郡石原（沢谷駅）（JR西日本）</t>
  </si>
  <si>
    <t>再接続検討は接続検討回答日から1年以内・同内容なら調査料不要</t>
  </si>
  <si>
    <t>【秘】接続検討回答書（G松江670）</t>
  </si>
  <si>
    <t>発調申込受付前の系統確認で空き容量がなくなり再接続検討が必要との通知。発調申込取下げ・保証金返還の案内。保証金額は同フォルダ保証金請求書(2026-01-06, 290,000円税込=263,637+消費税26,363)より</t>
  </si>
  <si>
    <t>25ヶ月〜</t>
  </si>
  <si>
    <t>系統状況変化によるご案内について(JK24GHZ024878).pdf</t>
  </si>
  <si>
    <t>02_本申請/系統状況変化によるご案内について(JK24GHZ024878).pdf</t>
  </si>
  <si>
    <t>再接続検討</t>
  </si>
  <si>
    <t>2026-05-07</t>
  </si>
  <si>
    <t>2026-02-13</t>
  </si>
  <si>
    <t>1227_島根県出雲市知井宮町1360-1（JR西日本）</t>
  </si>
  <si>
    <t>1227（JR西日本）_接続検討回答書_島根県出雲市知井宮町1360-1.pdf</t>
  </si>
  <si>
    <t>運開希望日に間に合わず / 格納フォルダ違いの疑い</t>
  </si>
  <si>
    <t>共和変電所（3B, 基幹:新岡部変電所）</t>
  </si>
  <si>
    <t>6kV阿那志線</t>
  </si>
  <si>
    <t>工事費負担金の総額2,623.95万円(消費税等相当額238.54万円含む)、税抜2,385.41万円（架空線978.35/地中線1,379.70/通信3.13/計量24.23）。概算工事費総額4,557.41万円(税込)</t>
  </si>
  <si>
    <t>工事費負担金の入金後 18ヶ月程度（受給契約申込後からは40ヶ月程度）。先行事業者の系統対策工事完了後に本件工事を実施</t>
  </si>
  <si>
    <t>希望2026年3月1日（記載のまま）</t>
  </si>
  <si>
    <t>電柱新設15本/建替10本、高圧線新設1,087m、引込線10m、開閉器新設2台、変圧器新設3台/撤去4台、管路26m・高圧ケーブル142m(CVT325/500)、ミニクラ新設一式、VCT・計量器・保安通信</t>
  </si>
  <si>
    <t>なし（上位系統対策0円、バンク逆潮流対策完了済み）</t>
  </si>
  <si>
    <t>ノンファーム型接続(新岡部500/154変圧器)、再給電方式、運転力率 遅れ90%一定、早期連系追加対策(充電制限)は現時点不要、N-1電制本格適用、先行事業者工事前提</t>
  </si>
  <si>
    <t>系統状況変化（他事業者申込で空き容量消失）による再接続検討の回答。系統連系保証金2,623千円(税込)。初回(JK24GHZ024878)より負担金・工期とも増加</t>
  </si>
  <si>
    <t>1228_広島県福山市神島町142-2（JR西日本）</t>
  </si>
  <si>
    <t>1228（JR西日本）_接続検討回答書_広島県福山市神島町142-2.pdf</t>
  </si>
  <si>
    <t>未読: スキャン画像PDF(13MB)。テキスト抽出は工事概要図ページの断片のみ（【秘】接続検討回答書（G福山422）、110kV、25,000kW等）。サイズ超過のためダウンロード/OCR未実施 / 読取信頼度low</t>
  </si>
  <si>
    <t>接続検討の回答について【JK25GHZ042932】.pdf</t>
  </si>
  <si>
    <t>03_再接続検討/接続検討の回答について【JK25GHZ042932】/接続検討の回答について【JK25GHZ042932】.pdf</t>
  </si>
  <si>
    <t>0916</t>
  </si>
  <si>
    <t>中国</t>
  </si>
  <si>
    <t>2025-10-21</t>
  </si>
  <si>
    <t>2025-07-22</t>
  </si>
  <si>
    <t>株式会社パワーエックス（PX浜田市宇野町1819-1蓄電所, 受付番号G松江320）</t>
  </si>
  <si>
    <t>島根県浜田市宇野町1819番1他4筆</t>
  </si>
  <si>
    <t>下府変電所（配電用）／基幹:西島根変電所</t>
  </si>
  <si>
    <t>6kV国分線 上府(支)78H7号柱より分岐（国分線一部を生湯線へ、生湯線一部を長沢線へ系統変更）</t>
  </si>
  <si>
    <t>工事費負担金の総額32.0百万円(消費税等相当額2.9百万円含む)、税抜29.1百万円（架空線20.7/バンク逆潮流対策7.0/計量0.3/NTT電柱建替0.5/上位系増強0.6）。概算工事費総額104.0百万円(税込)</t>
  </si>
  <si>
    <t>工事費負担金の入金後 31箇月程度（契約手続期間含まず）。運用開始希望日2026年3月1日には連系不可、連系時期の調整が必要</t>
  </si>
  <si>
    <t>希望2026年3月1日は不可（入金後31箇月程度）</t>
  </si>
  <si>
    <t>高圧線新設・増架・張替(HAL-OC200mm2)、引込線ACSR-OC58、電柱新設7本/建替37本、開閉器、下府変電所1号変圧器バンク逆潮流対策(EVT・OVGR, 2026年4月完了予定)、計量設備</t>
  </si>
  <si>
    <t>あり: 金城変電所110/66kV連系変圧器 順潮流対策用N-1電制装置(過負荷保護装置)設置工事（共用按分4.88%で特定負担0.6百万円）。本対策完了前の連系可</t>
  </si>
  <si>
    <t>1239_つくばみらい10MW（自然電力→三田証券）</t>
  </si>
  <si>
    <t>ノンファーム型接続(西島根変220/110kV連系変圧器・110kV金城連絡線)、再給電方式、早期連系追加対策(充電制限:金城変110/66kV)、力率 放電93%遅れ/充電93%進み一定、充電変化速度調整、手動復帰、N-1電制本格適用</t>
  </si>
  <si>
    <t>20240110_接続検討回答書_つくばみらい.pdf</t>
  </si>
  <si>
    <t>検討対象年度2028年度。別紙1適合検討書・別紙2潮流グラフあり</t>
  </si>
  <si>
    <t>最大負担金(税込・万円)</t>
  </si>
  <si>
    <t>最長工期(月)</t>
  </si>
  <si>
    <t>1244_高砂市阿弥陀町北池190</t>
  </si>
  <si>
    <t>1244（藤栄建設）_接続検討申込に対する回答_兵庫県高砂市阿弥陀町北池字向沖190番.pdf</t>
  </si>
  <si>
    <t>2026-07-07</t>
  </si>
  <si>
    <t>2026-01-16</t>
  </si>
  <si>
    <t>株式会社パワーエックス（PX浜田市宇野町1819-1蓄電所）</t>
  </si>
  <si>
    <t>下府変電所（配電用）</t>
  </si>
  <si>
    <t>6kV国分線</t>
  </si>
  <si>
    <t>工事費負担金の総額32,506,910円(消費税等相当額2,955,173円含む)、税抜29,551,737円（架空線20,764,400/バンク逆潮流対策6,979,000/計量337,318/NTT柱建替500,000/上位系増強971,019）。接続検討時32.0百万円から変更</t>
  </si>
  <si>
    <t>別紙に連系予定（運用開始）2029年3月1日（工期月数の記載はOCRで判読できず）</t>
  </si>
  <si>
    <t>2029年3月1日（系統連系予定日／竣工予定日）</t>
  </si>
  <si>
    <t>接続検討時と同様の配電線工事(HAL-OC200mm2新設・増架・張替、電柱新設7/建替37)、バンク逆潮流対策(EVT・OVGR、2026年4月完了)、計量設備</t>
  </si>
  <si>
    <t>上位系統増強工事: 西島根変電所220/110kV連系変圧器N-1電制装置、110kV金城連絡線N-1電制装置、金城変電所110/66kV連系変圧器N-1電制装置設置工事（共用按分2.55%/4.07%）</t>
  </si>
  <si>
    <t>ノンファーム型接続・再給電方式、充電制限（接続検討時に準ず）</t>
  </si>
  <si>
    <t>1279_島根県出雲市多伎町久村137-18（須山木材）</t>
  </si>
  <si>
    <t>medium</t>
  </si>
  <si>
    <t>【秘】接続検討回答書（G松江767）.pdf</t>
  </si>
  <si>
    <t>未読: パスワード付き（PDFがユーザーパスワードで暗号化）。中国電力NWのパスワードは案件ごとにランダムに発行される（G松江691の通知メールで確認）。G松江767の『受領およびパスワードのご連絡』メールやパスワードのメモは、案件フォルダ内（再帰的に）、Drive全体の検索、Gmailのいずれにも見つからなかった / 読取信頼度low</t>
  </si>
  <si>
    <t>2025年12月2日付契約申込(2026年1月16日受付)の承諾。系統容量確定。スキャンPDFのDrive OCRで読取のため一部判読不能（工期等）</t>
  </si>
  <si>
    <t>1315_長野県上水内郡信濃町案件（本久）</t>
  </si>
  <si>
    <t>接続検討申込みに対する回答について</t>
  </si>
  <si>
    <t>工期(月)が読めていない / 連系不可</t>
  </si>
  <si>
    <t>請求額 32,506,910円(税込, うち消費税等2,955,173円)。お支払済み保証金1,600,000円を差引き今回ご請求額30,906,910円、支払期限2026年8月10日</t>
  </si>
  <si>
    <t>竣工予定日 2029年3月1日</t>
  </si>
  <si>
    <t>竣工予定日2029年3月1日</t>
  </si>
  <si>
    <t>工事はご負担額を申し受けた後に着手</t>
  </si>
  <si>
    <t>工事費負担金請求書（スキャン画像を目視読取）</t>
  </si>
  <si>
    <t>1316_北海道虻田郡喜茂別町(ソーラークリエート)</t>
  </si>
  <si>
    <t>接続検討回答書（AKJ西双葉蓄電所_Akaysha Energy Japan㈱）.pdf</t>
  </si>
  <si>
    <t>916（エクスパワー）_工事費のご請求について_20260707.pdf</t>
  </si>
  <si>
    <t>1326_三重県伊賀市予野字向川540番2</t>
  </si>
  <si>
    <t>予野接続検討回答.pdf</t>
  </si>
  <si>
    <t>未読: スキャン画像PDF(5.8MB)。テキスト抽出はグラフ断片のみで本文読取不可（サイズのためダウンロード/OCR未実施） / 読取信頼度low</t>
  </si>
  <si>
    <t>系統連系予定日 2029年3月1日</t>
  </si>
  <si>
    <t>PCS力率 放電94%遅れ/充電90%進み一定（2026.6.15追記）、出力変化速度設定、オンライン制御準備までオフライン(手動)出力制御、PCS2,600kW→1,999kW出力制限、蓄電池7,404kWh</t>
  </si>
  <si>
    <t>系統連系承諾日2026-07-07、定格出力1,999kW、連系電圧高圧6kV。負担金記載なし（OCR読取）</t>
  </si>
  <si>
    <t>1412_秦野案件(セブンシーズアドバイザーズ)</t>
  </si>
  <si>
    <t>概算負担金・概算工期のお知らせ(（仮）セブンシーズ秦野グラウンド蓄電所)</t>
  </si>
  <si>
    <t>916（エクスパワー）_系統連系およびアンシラリーサービス契約承諾書_20260707.pdf</t>
  </si>
  <si>
    <t>0919</t>
  </si>
  <si>
    <t>（PX周防大島町久賀2086-4蓄電所, お問合せ番号G周南184(柳井)）</t>
  </si>
  <si>
    <t>山口県大島郡周防大島町久賀2086-4</t>
  </si>
  <si>
    <t>回答書件数</t>
  </si>
  <si>
    <t>本接続検討結果の有効期間は発行日から1年（2025-10-09送付メールより）</t>
  </si>
  <si>
    <t>low</t>
  </si>
  <si>
    <t>スキャン画像PDF（約7MB）: read_file_contentでは本文テキスト化されず（グラフ断片のみ）、download_file_contentはMCPセッション切断で2回失敗</t>
  </si>
  <si>
    <t>1437_大阪府大阪市平野区長吉長原４丁目１８−１０（タイヨー平野店）</t>
  </si>
  <si>
    <t>フォルダリンク</t>
  </si>
  <si>
    <t>回答送付メール(2025-10-09, 中国電力NW, 1jUHmHFjZyvXbIa9p3mhiiwEaOb-XFCU6)より: 原本はパスワード付ZIP「【秘】接続検討回答書（高圧）（G周南184）.zip」。連系申込時にPCS出力制限証明書提出要、保証金=接続検討回答時の工事費負担金概算×5%。読めた断片は西島根/徳山系統の2024年度潮流グラフのみ。接続検討申込(2025-06-06)、発調申込書類(2025-11-14修正)あり</t>
  </si>
  <si>
    <t>接続検討回答書</t>
  </si>
  <si>
    <t>251010_接続検討回答/接続検討回答_#0919_山口県大島郡周防大島町久賀2086-4.pdf</t>
  </si>
  <si>
    <t>1092</t>
  </si>
  <si>
    <t>xxxx_熊本県阿蘇郡杖立（アークエル）設備変更_小嶋さん</t>
  </si>
  <si>
    <t>2026-06-16</t>
  </si>
  <si>
    <t>20250911_接続検討回答書_杖立_(1)_1.pdf</t>
  </si>
  <si>
    <t>2026-03-16</t>
  </si>
  <si>
    <t>株式会社パワーエックス（三重伊勢蓄電所）</t>
  </si>
  <si>
    <t>三重県伊勢市矢持町（番地未定）</t>
  </si>
  <si>
    <t>未読: 画像のみPDF（read_file_contentでテキスト空）かつ10.6MBでdownload_file_contentの10MB上限超過のためダウンロード不可 / 読取信頼度low</t>
  </si>
  <si>
    <t>77kV</t>
  </si>
  <si>
    <t>南勢変電所（275/77kV）系統／度会橋変電所</t>
  </si>
  <si>
    <t>77kV度会橋連絡線 No.26鉄塔より架空2回線(A160)で連系</t>
  </si>
  <si>
    <t>工事費負担金の総額922.9百万円(消費税相当額83.9百万円含む)、税抜839.0百万円（架空線643.6/変電169.0/通信18.7/計量7.8）。概算工事費総額2,355.4百万円(税込)</t>
  </si>
  <si>
    <t>工事費負担金の入金後 57カ月程度（契約手続き期間・停電作業制約は含まず）。運用開始希望日2028年4月5日に間に合わないため連系時期の変更が必要</t>
  </si>
  <si>
    <t>希望2028年4月5日に間に合わず（入金後57カ月程度）</t>
  </si>
  <si>
    <t>鉄塔1基建替・アクセス線A160×2回線0.03km新設、南勢変電所 遮断器・断路器・開閉器取替(短絡容量超過)、N-1充電停止装置新設(南勢変275/77kV変圧器・77kV南勢度会橋線・77kV度会橋連絡線)、度会橋変PCM対向試験・補償リアクトル保護装置改造、押淵変電所断路器取替、他社(A社)受電用CT取替、VCT/計量器・保安通信・給電情報伝送装置新設</t>
  </si>
  <si>
    <t>上位2電圧(500/275kV)は再給電方式。南勢変電所275/77kV変圧器関連のN-1充電停止装置新設等（増強ではなく電制装置）</t>
  </si>
  <si>
    <t>ノンファーム型接続適用(主な設備:77kV度会橋連絡線)、N-1電制(本格適用)、早期連系追加対策(充電制限)前提・充電制限12時間/日目安、PCM保護継電装置設置、励磁突入電流対策(電圧変動対策 不適)、保護装置 不適(Tr%Z増加等)、運転力率は別途指定</t>
  </si>
  <si>
    <t>最大受電電力49,880kW・最大自家消費電力50,000kW。検討対象年度2032年度。専用線オンライン化工事は別途回答（同フォルダ）</t>
  </si>
  <si>
    <t>xxxx_熊本県玉名郡（CIP）210MW設備変更_小嶋さん</t>
  </si>
  <si>
    <t>【株式会社西日本パワーエナジーさま】発電設備等に関する契約申込みの回答について(承諾)(№23251).pdf</t>
  </si>
  <si>
    <t>負担金が読めていない / 工期(月)が読めていない</t>
  </si>
  <si>
    <t>【株式会社西日本パワーエナジーさま】発電設備等に関する契約申込みの回答について(承諾)(№23252).pdf</t>
  </si>
  <si>
    <t>接続検討回答書/接続検討回答書【株式会社パワーエックスさま（三重伊勢蓄電所）】.pdf</t>
  </si>
  <si>
    <t>1277_宮城県亘理郡山元町坂元字大檀7番2他（ソーラークリエート）</t>
  </si>
  <si>
    <t>01_先方より受領した資料（位置図・公図・登記地図PDF、Document.docx）、02_自社スクリーニング（案件チェックシートxlsx、ルート表pptx、ハザード等スクリーンショットpng）のみ。系統連系の回答書類なし</t>
  </si>
  <si>
    <t>工事補償金の総額152.02百万円(消費税等相当額13.82百万円含む)。税抜138.2百万円（給電0.0/通信138.2）、概算工事費141.8百万円(税抜,給電は未定)</t>
  </si>
  <si>
    <t>『未定』 通常は工事補償金の入金後41ヶ月程度(給電1ヶ月,通信41ヶ月)だが制御システム改修時期が未確定のため未定</t>
  </si>
  <si>
    <t>通信線路の2ルート化(光ケーブル施設)、専用線オンライン用CDT装置設置、給電制御システムデータメンテ</t>
  </si>
  <si>
    <t>2ルート目の事業者鉄塔～連系変電所区間OPGWは事業者設置</t>
  </si>
  <si>
    <t>接続検討回答に付随する専用線オンライン化工事の見積回答（工事補償金）。添付:通信工事検討結果(1UvesZxdLFKjdMsJE0C3L1TyUpYJpJXGO)は前提条件のみで金額なし</t>
  </si>
  <si>
    <t>【株式会社西日本パワーエナジーさま】発電設備等に関する契約申込みの回答について(承諾)(№23253).pdf</t>
  </si>
  <si>
    <t>1704_岩手県九戸郡軽米町大字軽米第14地割字土弓6番1</t>
  </si>
  <si>
    <t>02.自社スクリーニング（PX案件チェックシートxlsx、ルート表pptx、ハザード等gif）のみ。01_先方より受領した資料は空。系統連系の回答書類なし</t>
  </si>
  <si>
    <t>九州</t>
  </si>
  <si>
    <t>専用線オンライン化工事　御見積の回答について（三重伊勢蓄電所）.pdf</t>
  </si>
  <si>
    <t>接続検討回答書/専用線オンライン化工事　御見積の回答について（三重伊勢蓄電所）.pdf</t>
  </si>
  <si>
    <t>【保留】/005_鏡石町笠石117-2他（福島県）_高圧蓄電所</t>
  </si>
  <si>
    <t>1113</t>
  </si>
  <si>
    <t>【接続検討回答書】No005_鏡石町笠石117-2他（A62325462）.pdf</t>
  </si>
  <si>
    <t>1703_岩手県九戸郡軽米町大字晴山第8地割字大崎山94番2</t>
  </si>
  <si>
    <t>運開希望日に間に合わず / 工期と別にバンク/上位系対策待ち / 負担金が10億円以上（上位系統増強・一般負担上限超過分を含む。原本で金額確認）</t>
  </si>
  <si>
    <t>埋込みファイル名「接続検討の回答について【JK25GHZ040495】.pdf」（東京電力PG様式）。同フォルダに東電PGのノンファーム型接続同意書・売電先確定のお願い・ローカル系統混雑同意書・出力制御PCS仕様確認依頼書（回答同封物）あり。申込書は「茨城県行方市浜蓄電所」(2025-12-15)。数値は未取得</t>
  </si>
  <si>
    <t>006_須賀川市江持字喜太夫70（福島県）_高圧蓄電所</t>
  </si>
  <si>
    <t>【接続検討回答書】No006_須賀川市江持字喜太夫70（A62324001）.pdf</t>
  </si>
  <si>
    <t>04_回答/接続検討回答.pdf</t>
  </si>
  <si>
    <t>1123</t>
  </si>
  <si>
    <t>北海道</t>
  </si>
  <si>
    <t>2025-04-18</t>
  </si>
  <si>
    <t>2025-01-20</t>
  </si>
  <si>
    <t>株式会社エクスパワー</t>
  </si>
  <si>
    <t>北海道厚岸郡浜中町姉別南三線179、他</t>
  </si>
  <si>
    <t>66kV</t>
  </si>
  <si>
    <t>厚床変電所系統（工事検討結果の系統図より、要確認）</t>
  </si>
  <si>
    <t>66kV根室2号線 No.361付近より1回線T分岐（66kV連系線ACSR/AC95sq 0.34km）</t>
  </si>
  <si>
    <t>工事費負担金総額63.5百万円（消費税等5.8百万円含む）。税抜57.7百万円＝架空線33.7＋通信10.3＋計量13.7＋給電0.0。概算工事費84.9百万円(税込)。一般負担上限超過0</t>
  </si>
  <si>
    <t>【保留】/038_南相馬市小高区飯崎字南原23-1（福島県）_高圧蓄電所</t>
  </si>
  <si>
    <t>【接続検討回答書】No038_南相馬市小高区飯崎字南原23-1（A61224054）.pdf</t>
  </si>
  <si>
    <t>工事費負担金の入金後26ヶ月程度（契約申込受付2025年5月下旬・入金2025年12月下旬を仮定）。今回申込のアクセス線運転開始希望日には連系不可</t>
  </si>
  <si>
    <t>工程表上: アクセス設備の運用開始可能日 2027年3月上旬（希望日2027年3月1日）※本文では希望日連系不可・ノンファームシステム開発期間は含まず</t>
  </si>
  <si>
    <t>66kV根室2号線No.361支持物建替、66kV連系線新設0.34km、通信回線構成・光ケーブル0.4km、中給・釧路系統制御所システム改修、計量器・VCT。申込者側: 電圧変動対策(STATCOM等 容量性/誘導性 各16MVar程度)、連系用変圧器%Z 64%以上(100MVAベース)</t>
  </si>
  <si>
    <t>なし（基幹系北新得変275/187kVはノンファーム混雑管理で対応）</t>
  </si>
  <si>
    <t>ノンファーム型接続（北新得変電所275/187kV連絡用変圧器）、再給電方式(一定の順序)、ローカル系統混雑管理、N-1電制本格適用、充放電抑制、PCS単独運転検出ロック、力率別途協議</t>
  </si>
  <si>
    <t>接続検討回答日から1年を経過すると契約申込不可</t>
  </si>
  <si>
    <t>受付番号 託2024_1167（約款改訂に係る更新版）。00_取り下げ、進行不可フォルダ配下。同フォルダに01回答について/02注意事項/04工事検討結果/05計量設備接続構造図/06電圧変動対策/07保安通信回線資料、03.発調申請書類に同一回答書の重複コピー(id=1sMDU7cV4t_qkmuBQLG5nGQqHwwzOswpH)あり</t>
  </si>
  <si>
    <t>040_新地町駒ケ嶺字桜下51-1（福島県）_高圧蓄電所</t>
  </si>
  <si>
    <t>1519_大阪府寝屋川市石津南町9-29</t>
  </si>
  <si>
    <t>【接続検討回答書】No040_新地町駒ケ嶺字桜下51-1（A61224162）.pdf</t>
  </si>
  <si>
    <t>回答書なし。フォルダ内: PXさま_電力申請依頼シート.xlsx、desktop.ini、01.受取資料/image.png のみ</t>
  </si>
  <si>
    <t>1123_北海道道厚岸郡浜中町姉別南三線(エクスパワー）)/01_接続検討回答/03_接続検討回答書（約款改訂に係る更新）_【託2024_1167】_1.pdf</t>
  </si>
  <si>
    <t>1129</t>
  </si>
  <si>
    <t>事前相談回答</t>
  </si>
  <si>
    <t>2026-02-17</t>
  </si>
  <si>
    <t>2026-01-28</t>
  </si>
  <si>
    <t>株式会社イノスタ</t>
  </si>
  <si>
    <t>広島県東広島市河内町入野字東山2138番38,2138番37</t>
  </si>
  <si>
    <t>110kV</t>
  </si>
  <si>
    <t>想定連系点まで直線距離約5.2km</t>
  </si>
  <si>
    <t>事前相談のため記載なし</t>
  </si>
  <si>
    <t>1326_大栄工業_伊賀市案件</t>
  </si>
  <si>
    <t>記載なし（接続検討で検討）</t>
  </si>
  <si>
    <t>平常時における混雑発生［あり］、主な混雑設備：110kV椋梨川線</t>
  </si>
  <si>
    <t>ノンファーム型接続適用電源。熱容量起因の連系制限欄は取消線（対象外）。FRT要件充足要。逆潮流側のみの検討（順潮流は接続検討で実施）。</t>
  </si>
  <si>
    <t>特別高圧様式CK3。PDFはテキスト層なし（Print To PDF）のため画像レンダリングして目視で読取。事前相談は100,000kW/110kVだが、その後の接続検討申込は高圧規模で別スキーム。</t>
  </si>
  <si>
    <t>【再接続検討回答書】No040_新地町駒ケ嶺字桜下51-1（A61225471）.pdf</t>
  </si>
  <si>
    <t>運開希望日に間に合わず / 工期と別にバンク/上位系対策待ち</t>
  </si>
  <si>
    <t>比較不可(片方に値なし)（メモ:東広島654(1129崇徳)）</t>
  </si>
  <si>
    <t>【秘】事前相談に対する回答書（広島２６１４）.pdf</t>
  </si>
  <si>
    <t>01.事前相談/【秘】事前相談に対する回答書（広島２６１４）.pdf</t>
  </si>
  <si>
    <t>2026-06-29</t>
  </si>
  <si>
    <t>2026-04-03</t>
  </si>
  <si>
    <t>株式会社パワーエックス</t>
  </si>
  <si>
    <t>広島県東広島市河内町入野字東山12138番37（（仮称）PX東広島市河内蓄電所）</t>
  </si>
  <si>
    <t>6.6kV（高圧）</t>
  </si>
  <si>
    <t>高屋変電所（配電用）／基幹変電所：広島変電所</t>
  </si>
  <si>
    <t>6kV 是国線 大仙支20号柱より分岐（竹原変電所6kV新庄線は空き容量なしのため不可）</t>
  </si>
  <si>
    <t>【保留】/044_白河市合戦坂88-2他（福島県）_高圧蓄電所</t>
  </si>
  <si>
    <t>【再接続検討回答書】No044_白河市合戦坂88-2他（A62225452）.pdf</t>
  </si>
  <si>
    <t>工期と別にバンク/上位系対策待ち / 負担金が10億円以上（上位系統増強・一般負担上限超過分を含む。原本で金額確認）</t>
  </si>
  <si>
    <t>1517_大阪府池田市桃園1丁目9-14</t>
  </si>
  <si>
    <t>回答書なし。フォルダ内: 02.接続検討/(接続検討申込書xlsx(old含む)、PCS出力制限docx、単線結線図pdf、特別措置確認書xlsx、仕様書pdf x15)、登記PDF x6、電力申請依頼シートxlsx、image.png</t>
  </si>
  <si>
    <t>工事費負担金総額103.7百万円（消費税等9.5百万円含む）。税抜94.2百万円の内訳：架空線41.9／地中線44.8／計量0.3／上位系対策0.6／伐採6.6。概算工事費総額159.2百万円（税込、税抜144.7）。一般負担上限超過なし。</t>
  </si>
  <si>
    <t>工事費負担金の入金後92箇月程度（契約手続期間は含まず）</t>
  </si>
  <si>
    <t>運用開始希望日2027-10-01には連系不可、連系時期の調整が必要（入金後92箇月）</t>
  </si>
  <si>
    <t>6kV架空線：高圧線新設168m・張替7,511m（RW-AL-OC200㎜2、455A）、電柱新設4本・建替59本、開閉器新設3・取替4、TVR取替1台、計測機能付開閉器1台、引込線30m／地中線：管路330m（Φ125×2条）・CVT325㎟ 195m／伐採23径間／計量器2台（受電用・供給用）ほか。工事亘長 架空約7.8km・地中約0.2km</t>
  </si>
  <si>
    <t>220kV広島西幹線対策（N-1充電停止装置設置他：先行事業者特定負担46.1百万円×共用比率1.3%＝0.6百万円）、220kV広島系SSC取替（一般負担3.0百万円）。先行事業者分として実施中で、本文では本対策完了前の連系が可能とする</t>
  </si>
  <si>
    <t>ノンファーム型接続（再給電方式・一定の順序、制御量に影響する主設備：220kV広島西幹線、オンライン出力制御機器を自社負担で導入）。早期連系追加対策（充電制限）適用：110kV広島西条線の熱容量を順潮流で超過するため、スケジュール運転機能・区分計量器が必要（暫定措置、不同意なら増強工事＋再検討）。力率：放電時 進み93%／充電時 遅れ93%一定。出力変化速度の設定、停止後は手動復帰、作業停止時の充放電抑制、N-1電制本格適用。発電側課金割引区分A-3。検討年度2034年度。サイバーセキュリティ要件</t>
  </si>
  <si>
    <t>有効期限の明記なし（系統状況の変化等で有効でなくなる場合ありとの記載のみ）</t>
  </si>
  <si>
    <t>PDFはパスワード付きだったが、同じ回答書フォルダにあるファイル名の値（中国電力NWの通知パスワードと推定）で開けた。別紙2（概略工程表）：92箇月工程、6kV架空約7.8km・地中約0.2km。注意事項欄には『上位系統の空き容量不足のため対策工事を実施中で、連系は上位系統対策完了後』とあり、本文7頁の『本対策完了前の連系が可能』と食い違うため確認が必要。別紙4（110kV広島西条線の季節別想定潮流）はグラフのみで数値はテキストで取れない。</t>
  </si>
  <si>
    <t>1518_大阪府茨木市中津町22</t>
  </si>
  <si>
    <t>回答書なし。フォルダ内: 02.接続検討/(接続検討申込書xlsx(old含む)、PCS出力制限docx、単線結線図pdf、特別措置確認書xlsx、仕様書pdf x15)、登記PDF、電力申請依頼シートxlsx、image.png</t>
  </si>
  <si>
    <t>【保留】/045_大衡村大衡字萱刈場102-2（宮城県）_高圧蓄電所</t>
  </si>
  <si>
    <t>【接続検討回答書】No045_大衡村大衡字萱刈場102-2（A41524056）.pdf</t>
  </si>
  <si>
    <t>04.接続検討回答書/【秘】接続検討回答書(G東広島654).pdf</t>
  </si>
  <si>
    <t>1135</t>
  </si>
  <si>
    <t>1135_北海道夕張郡由仁町川端1178番、1180番（葵アセットマネジメント株式会社）</t>
  </si>
  <si>
    <t>2026-02-27</t>
  </si>
  <si>
    <t>北海道夕張郡由仁町川端1178番、1180番</t>
  </si>
  <si>
    <t>66kV 川端線 NO.78 付近（想定連系点、設置場所から直線距離約2km）</t>
  </si>
  <si>
    <t>事前相談のため工事費負担金の記載なし</t>
  </si>
  <si>
    <t>記載なし（工事内容・工期は接続検討で検討）</t>
  </si>
  <si>
    <t>主な混雑設備：北江別変電所 187/66kV 連変</t>
  </si>
  <si>
    <t>ノンファーム型接続適用電源。平常時混雑発生［なし］・［あり］及び熱容量起因連系制限［なし］・［あり］の選択はテキスト抽出で判別不可（連系制限ありの場合の最大受電電力欄は「－kW」）。北海道エリアは需給調整面の出力制御可能性あり。</t>
  </si>
  <si>
    <t>【保留】/046_加美町菜切谷字青木原28-146（宮城県）_高圧蓄電所</t>
  </si>
  <si>
    <t>事前相談回答（特別高圧様式CK3、受付託2025_1317、申込者はイノスタ名義、希望受電電圧66kV・25,000kW）。その後PX名義で高圧接続検討（託2026_0059、（仮称）PX北海道夕張蓄電所、高圧4台）を申込んだが2026-06-09付で取下げ、接続検討料220,000円(税込)返金のお知らせ(2026-06-11)あり。接続検討回答書はフォルダ内に無し。</t>
  </si>
  <si>
    <t>【接続検討回答書】No046_加美町菜切谷字青木原28-146（A43124096）.pdf</t>
  </si>
  <si>
    <t>00_取り下げ、進行不可</t>
  </si>
  <si>
    <t>取り下げ・進行不可の24サブ案件フォルダ。回答書があるのは1123のみ（別レコード）。他23件(1133,1276,1138,1085,XXX朝来,1275,1221,1391,1224,1198,1268,1222,1257,1219,1267,1191,1263,1280,1140,1131,1132,1141,1142)は接続検討申込書xlsx・様式5の3〜5の7pdf・PCS出力制限docx・機器仕様書pdf・チェックシート/ルート表・スクリーニングpng・登記等のみ（1275/1268/1267は申込書一式【取下げ済み】）。1141/1142の『中国電力事前相談20260122.xlsx』は自社作成シート（内容『7MW』のみ）で回答書ではない</t>
  </si>
  <si>
    <t>【保留】/047_石巻市桃生町寺崎字元町116-1（宮城県）_高圧蓄電所</t>
  </si>
  <si>
    <t>【接続検討回答書】No047_石巻市桃生町寺崎字元町116-1（A42124040）.pdf</t>
  </si>
  <si>
    <t>【非公開情報等】【託2025_1317】事前相談回答書_株式会社イノスタ.pdf</t>
  </si>
  <si>
    <t>03_接続検討申請/01.事前相談/【非公開情報等】【託2025_1317】事前相談回答書_株式会社イノスタ.pdf</t>
  </si>
  <si>
    <t>1136</t>
  </si>
  <si>
    <t>関西</t>
  </si>
  <si>
    <t>2026-04-28</t>
  </si>
  <si>
    <t>2026-02-10</t>
  </si>
  <si>
    <t>株式会社パワーエックス（兵庫高砂蓄電所, 受付番号2025-82-04346）</t>
  </si>
  <si>
    <t>兵庫県高砂市中筋三丁目780番,781番</t>
  </si>
  <si>
    <t>曽根変電所</t>
  </si>
  <si>
    <t>天川配電線（アルミ120sq, 阿弥陀43E2付近から高圧引込）</t>
  </si>
  <si>
    <t>工事費負担金の総額32.5百万円(消費税等相当額含む, 額は空欄)、税抜29.5（架空線29.3/計量0.2）。概算工事費総額32.7百万円(税抜29.7)。※内訳表の単位表記は「千円」だが数値は百万円単位相当</t>
  </si>
  <si>
    <t>工事費負担金の入金後 24ケ月程度（契約手続き期間含まず）。運用開始希望日2027年2月1日には連系不可、連系時期の調整が必要</t>
  </si>
  <si>
    <t>希望2027年2月1日は不可（入金後24ケ月程度）</t>
  </si>
  <si>
    <t>電柱建替15本、高圧線新設831m・張替182m(アルミ120sq)、変圧器位置替14台、開閉器新設/位置替、電圧調整器新設3台(3500kVA)、引込線20m、計量設備(VCT・計量器2台・通信端局)</t>
  </si>
  <si>
    <t>なし（上位系増強工事 -）</t>
  </si>
  <si>
    <t>ノンファーム型接続適用（北摂変電所500/275kV変圧器混雑）・再給電方式。早期連系追加対策(充電制限)は現時点不要。揚水・蓄電池特別措置適用前提で算定。OCR・DGR保護協調は連系申込時に検討</t>
  </si>
  <si>
    <t>【保留】/048_大崎市岩出山南沢字桂沢19-63（宮城県）_高圧蓄電所</t>
  </si>
  <si>
    <t>【接続検討回答書】No048_大崎市岩出山南沢字桂沢19-63（A43124081）.pdf</t>
  </si>
  <si>
    <t>最大自家消費電力100kWとして検討。検討対象年度2026年度。同一内容のコピーが複数(1LxdEg…, 1ecLWJ…, 1BMTiR…, 圧縮版1bMaqG…/1vyKSS…)。発調申込(2026-05-18提出)フォルダあり、充電制限同意書(関西,2026-05-15)も存在</t>
  </si>
  <si>
    <t>1453_南房総市千倉町大貫１０９６－３</t>
  </si>
  <si>
    <t>回答書なし。フォルダ内: 01_先方より受領した資料(物件資料pptx・登記PDF)、02_自社スクリーニング(チェックシートxlsx・ルート表pptx・スクリーニングpng x15)</t>
  </si>
  <si>
    <t>03_イノスタ作成成果物/接続検討申込みに対する回答について.pdf</t>
  </si>
  <si>
    <t>【保留】/049_奥州市前沢字狐石484-1（岩手県）_高圧蓄電所</t>
  </si>
  <si>
    <t>1147</t>
  </si>
  <si>
    <t>【再接続検討回答書】No049_奥州市前沢字狐石484-1（A23125415）.pdf</t>
  </si>
  <si>
    <t>2026-06-03</t>
  </si>
  <si>
    <t>2026-03-09</t>
  </si>
  <si>
    <t>株式会社パワーエックス（PX愛知県岡崎市蓄電所, 受付番号AAD610461758）</t>
  </si>
  <si>
    <t>愛知県岡崎市板田町字東流石27-1 他26筆</t>
  </si>
  <si>
    <t>1405_南九州市頴娃町上別府字入尾原3942-1（つくる地所）</t>
  </si>
  <si>
    <t>大平変電所</t>
  </si>
  <si>
    <t>大平変電所F36 01ｷ401より分岐（OC-W60mm2）</t>
  </si>
  <si>
    <t>回答書なし。案件チェックシートxlsx、ルート表pptx、許認可スクリーニング画像png(13件)、先方受領資料/土地謄本.pdfのみ。接続検討申込書も未格納。</t>
  </si>
  <si>
    <t>工事費負担金の総額7,946.7千円(消費税相当額722.4千円含む)、税抜7,224.3千円（架空線86.7/バンク逆潮流対策6,979.0/計量158.6）。概算工事費総額38,769.8千円(税込)</t>
  </si>
  <si>
    <t>工事費負担金の入金後 6ヶ月程度（契約手続き期間含まず）。別紙: 2028年度下期頃予定のバンク逆潮流対策工事後に連系可能となるため、上記工期かバンク逆潮流対策工事のどちらか遅い時期</t>
  </si>
  <si>
    <t>入金後6ヶ月 または 2028年度下期頃（バンク逆潮流対策工事後）の遅い方</t>
  </si>
  <si>
    <t>架空線(高圧引込線20m等)、配変バンク逆潮流対策、計量設備(計量器2台・VCT)</t>
  </si>
  <si>
    <t>上位系統の現場調査・設計/工事施工が工程表に記載（バンク逆潮流対策 2028年度下期頃）</t>
  </si>
  <si>
    <t>ノンファーム型接続(275kV東部額田線・新三河変電所)、再給電方式、早期連系追加対策(充電制限)前提、PCS力率一定 充電95%進み/放電99%遅れ、手動復帰、構内変圧器タップ6600、N-1電制本格適用(新三河変電所)</t>
  </si>
  <si>
    <t>系統連系保証金397千円(税込,消費税36千円含む)を記載。希望運用開始2027年2月1日。同一ファイルのコピー2件(1OeU4m…,1zQE5s…)とZIP版(1CHhco…, 未展開)あり。別紙「所要工期について」(1dUW8K…)参照</t>
  </si>
  <si>
    <t>1372_岐阜県土岐市鶴里町柿野1316-1</t>
  </si>
  <si>
    <t>東北</t>
  </si>
  <si>
    <t>回答書なし。03.接続検討申込書一式（申込書xlsx・様式5の4〜5の8図面PDF・PCS出力制限docx・出力制御装置仕様確認依頼書・機器仕様書PDF群）=申込側書類のみで電力会社回答は未格納。他に案件概要PDF、チェックシート、ルート表、スクリーニング画像。</t>
  </si>
  <si>
    <t>【再接続検討回答書】No049_奥州市前沢字狐石484-1（A23125477）.pdf</t>
  </si>
  <si>
    <t>1382_宮崎県児湯郡新富町</t>
  </si>
  <si>
    <t>回答書なし。03.接続検討申込書一式（申込書xlsx/押印済PDF、PCS仕様、技術資料PDF群、送付書20260629.pdf=九電送配サービス宛に2026-06-29接続検討申込書一式を送付した旨の当方送付状）。九州エリアで接続検討申込済みだが回答書は未格納。</t>
  </si>
  <si>
    <t>04.接続検討回答書/接続検討回答書　株式会社パワーエックス　PX愛知県岡崎市蓄電所/接続検討回答書（株式会社パワーエックス　PX愛知県岡崎市蓄電所）.pdf</t>
  </si>
  <si>
    <t>2026-06-11</t>
  </si>
  <si>
    <t>【保留】/052_白河市東工業団地字南7他（福島県）_高圧蓄電所</t>
  </si>
  <si>
    <t>【接続検討回答書】No052_白河市東工業団地字南7他（A62224099）.pdf</t>
  </si>
  <si>
    <t>接続検討要否確認結果: 「接続検討申込みは省略することができます」（受付番号AAD610461758, 契約申込前の要否確認）</t>
  </si>
  <si>
    <t>【再接続検討回答書】No052_白河市東工業団地字南7他（A62225433）.pdf</t>
  </si>
  <si>
    <t>1211_佐賀県佐賀市鍋島町大字森田（ソーラークリエート）</t>
  </si>
  <si>
    <t>回答書なし。先方受領資料（測量図・謄本・地図・公図・売地資料xls・物件概要PDF）、案件チェックシート、ルート表、スクリーニング画像のみ。</t>
  </si>
  <si>
    <t>接続検討の要否確認依頼に対する結果について（株式会社パワーエックス様）.pdf</t>
  </si>
  <si>
    <t>07.接続検討要否確認結果※イノスタ対応/接続検討の要否確認依頼に対する結果について（株式会社パワーエックス様）.pdf</t>
  </si>
  <si>
    <t>1168</t>
  </si>
  <si>
    <t>2026-06-24</t>
  </si>
  <si>
    <t>2026-04-10</t>
  </si>
  <si>
    <t>兵庫県高砂市伊保四丁目516番（（仮称）PX兵庫高砂伊保四丁目蓄電所）</t>
  </si>
  <si>
    <t>石殿配電線（上沼田35S5付近から高圧引込）</t>
  </si>
  <si>
    <t>工事費負担金の総額3.8百万円（消費税等相当額 欄空白）／内訳(税抜)架空線3.3・計量0.2等 計3.5百万円。概算工事費総額4.1百万円（税抜3.7）。特措適用前提</t>
  </si>
  <si>
    <t>工事費負担金の入金後 12ケ月程度（契約手続期間は含まず）。運用開始希望日2027/2/1には連系不可</t>
  </si>
  <si>
    <t>運用開始希望日2027年2月1日は不可（入金後12ヶ月程度）</t>
  </si>
  <si>
    <t>電柱新設1本/建替2本、高圧線新設118m・張替302m(アルミ120sq)、低圧線張替38m、引込線20m、開閉器新設、計量装置</t>
  </si>
  <si>
    <t>ノンファーム型接続（主な混雑設備:北摂変電所500/275kV変圧器）、再給電方式、N-1電制本格適用、力率一定制御0.9、早期連系追加対策(充電制限)は不要、特措(蓄電池特別措置)適用前提</t>
  </si>
  <si>
    <t>1201_茨城県笠間市福田961-12他（ソーラークリエート）</t>
  </si>
  <si>
    <t>接続検討の回答日から1年を経過すると契約申込不可</t>
  </si>
  <si>
    <t>回答書なし。物件概要PDF1件、案件チェックシート、スクリーニング画像のみ。</t>
  </si>
  <si>
    <t>受付番号2025-82-05087。最大自家消費電力は95kWと記載（充電側kW不明確のためcapacity_kw_chargeはnull）。消費税額欄が空白のため税込/税抜表記は総額欄の書式による。</t>
  </si>
  <si>
    <t>【保留】/054_大崎市岩出山字細峯55-137（宮城県）_高圧蓄電所</t>
  </si>
  <si>
    <t>【接続検討回答書】No054_大崎市岩出山字細峯55-137（A43124115）.pdf</t>
  </si>
  <si>
    <t>1187_茨城県土浦市大畑577-1（ソーラークリエート）</t>
  </si>
  <si>
    <t>回答書なし。03_接続検討申込書（申込書xlsx・様式5の3〜5の7 PDF）=申込側書類のみ。他に物件概要PDF、チェックシート、ルート表、スクリーニング画像。</t>
  </si>
  <si>
    <t>1169</t>
  </si>
  <si>
    <t>2026-03-31</t>
  </si>
  <si>
    <t>西日本旅客鉄道株式会社</t>
  </si>
  <si>
    <t>島根県邑智郡美郷町築瀬202-7（（仮称）島根県邑智郡美郷町蓄電所）</t>
  </si>
  <si>
    <t>【保留】/055_松島町高城字石田沢一17-1他（宮城県）_高圧蓄電所</t>
  </si>
  <si>
    <t>【接続検討回答書】No055_松島町高城字石田沢一17-1他（A41224038）.pdf</t>
  </si>
  <si>
    <t>明塚変電所（配電用）/潮変電所No.2変圧器増設/基幹:作木変電所</t>
  </si>
  <si>
    <t>6kV赤来線 吾郷幹30号柱より分岐（22/6kV柱上変圧器2.5MVA新設・他発電設備の系統変更後）</t>
  </si>
  <si>
    <t>工事費負担金の総額322.5百万円（消費税等相当額29.3百万円を含む）／税抜293.2百万円＝架空線21.5+計量0.3+その他(上位系)62.2+一般負担上限額超過分209.2。概算工事費総額481.9百万円（税込）</t>
  </si>
  <si>
    <t>1208_静岡県浜松市浜名区三ヶ日町都筑（ソーラークリエート）</t>
  </si>
  <si>
    <t>回答書なし。物件概要PDF、案件チェックシート、ルート表、スクリーニング画像のみ。</t>
  </si>
  <si>
    <t>工事費負担金の入金後 54ヶ月程度（契約手続期間は含まず）。運用開始希望日2027/10/1には連系不可、連系時期の調整が必要</t>
  </si>
  <si>
    <t>運用開始希望日2027年10月1日は不可（入金後54ヶ月程度）</t>
  </si>
  <si>
    <t>高圧線新設1344m・張替632m、電柱新設42本/建替10本、引込線11m、SVR(3,000kVA)新設、22/6kV柱上変圧器2.5MVA新設+22kV架空線、潮変電所No.2変圧器増設(20MVA)・1次CB設置</t>
  </si>
  <si>
    <t>あり：潮変電所No.2変圧器増設(20MVA)、220kV広島西幹線/作木支線N-1充電停止装置通信設備(共用負担0.6+0.5百万円)、広島系SSC取替。一般負担上限(4.1万円/kW×1,994kW=81.8百万円)超過分209.2百万円を特定負担</t>
  </si>
  <si>
    <t>ノンファーム型接続（出力制御に影響:220kV作木支線/110kV潮熊見線）、再給電方式、N-1電制本格適用、力率 放電93%遅れ/充電90%進み一定、出力変化速度規定、充電停止あり。早期連系追加対策(充電制限)は不要</t>
  </si>
  <si>
    <t>同フォルダに【秘】書類確認結果（G松江691）.pdf（回答書ではない）あり。ZIP/emlは申込書送付関係</t>
  </si>
  <si>
    <t>【保留】/056_雫石町中黒沢川191-42（岩手県）_高圧蓄電所</t>
  </si>
  <si>
    <t>【接続検討回答書】No056_雫石町中黒沢川191-42（A21124099）.pdf</t>
  </si>
  <si>
    <t>1214_千葉県山武郡柴山町山中字大山（ソーラークリエート）</t>
  </si>
  <si>
    <t>回答書なし。先方受領資料（位置図・物件概要PDF『連系鉄塔200m以内』・28.xlsx・地番図）、案件チェックシート、ルート表、スクリーニング画像のみ。</t>
  </si>
  <si>
    <t>1185</t>
  </si>
  <si>
    <t>1185_静岡県掛川市淡陽18番1（ティーライフ）</t>
  </si>
  <si>
    <t>2026-08-21</t>
  </si>
  <si>
    <t>2026-05-25</t>
  </si>
  <si>
    <t>株式会社パワーエックス（受付番号AAD240735819）</t>
  </si>
  <si>
    <t>静岡県掛川市淡陽18番1（（仮称）PX静岡県掛川市蓄電所）</t>
  </si>
  <si>
    <t>安養寺変電所</t>
  </si>
  <si>
    <t>安養寺変電所F27（02ｳ851より分岐し構内柱と接続）</t>
  </si>
  <si>
    <t>工事費負担金の総額3,260.7千円（消費税相当額296.4千円を含む）。税抜2,964.3千円＝架空線工事2,805.7千円＋計量設備工事158.6千円。概算工事費も同額。</t>
  </si>
  <si>
    <t>工事費負担金の入金後 12ヶ月程度</t>
  </si>
  <si>
    <t>アクセス設備の運用開始希望日 2027年2月1日（連系可否：可）</t>
  </si>
  <si>
    <t>電柱新設1本・建替1本、高圧線新設20m・張替408m（OCW-60㎟へ太線化）、高圧引込線30m、開閉器取替、計量器1台・VCT1台</t>
  </si>
  <si>
    <t>上位系統増強なし（駿遠変電所275/77kV変圧器の順潮流超過は充電制限で対応）</t>
  </si>
  <si>
    <t>ノンファーム型接続適用（500kV西部幹線、500kV三岐幹線）、再給電方式。早期連系追加対策（充電制限）適用（駿遠変電所275/77kV変圧器の熱容量超過、スケジュール運転機能要、区分計量器要）。力率：放電97%（遅れ）・充電90%（進み）で不適→対策要。変圧器励磁突入電流による瞬時電圧変動対策要。出力変化速度5秒以上・ステップ10%以下・ランプ20%/秒以下。N-1電制本格適用。</t>
  </si>
  <si>
    <t>最大自家消費電力1,999kWをcapacity_kw_chargeに記載。充電制限に同意しない場合は増強工事・再接続検討の可能性。保証金額の記載なし。</t>
  </si>
  <si>
    <t>1210_京都府舞鶴市字倉谷小字縄1350番9（ソーラークリエート）</t>
  </si>
  <si>
    <t>回答書なし。フォルダ内は先方受領の物件概要PDF(77kV1.7km記載)・自社スクリーニング(案件チェックシートxlsx、ハザード等スクリーンショットpng)のみ。接続検討未申込とみられる。</t>
  </si>
  <si>
    <t>【保留】/059_八幡平市松尾寄木第1地割589-3（岩手県）_高圧蓄電所</t>
  </si>
  <si>
    <t>【接続検討回答書】No059_八幡平市松尾寄木第1地割589-3（A21124100）.pdf</t>
  </si>
  <si>
    <t>1185_接続検討回答書一式 (PX静岡県掛川)/接続検討申込みに対する回答について.pdf</t>
  </si>
  <si>
    <t>1186</t>
  </si>
  <si>
    <t>1205_栃木県鹿沼市深津字上台原2523-4（ソーラークリエート）</t>
  </si>
  <si>
    <t>回答書なし。先方受領資料(物件概要PDF、道路台帳、地番図、住宅地図、登記簿謄本PDF、連系変電所までの距離jpg)と自社スクリーニング(案件チェックシート、スクリーンショット)のみ。</t>
  </si>
  <si>
    <t>島根県邑智郡美郷町石原111-9（（仮称）JR島根県邑智郡石原蓄電所）</t>
  </si>
  <si>
    <t>潮変電所（配電用、No.2変圧器増設）/基幹:作木変電所</t>
  </si>
  <si>
    <t>6kV新設配電線 潮来島線144M3号柱より分岐（22/6kV柱上変圧器2.5MVA新設）</t>
  </si>
  <si>
    <t>工事費負担金の総額307.0百万円（消費税等相当額27.9百万円を含む）／税抜279.1百万円＝架空線7.9+計量0.3+その他(上位系)84.2+一般負担上限額超過分186.7。概算工事費総額466.5百万円（税込）</t>
  </si>
  <si>
    <t>【保留】/061_伊達市月舘町糠田字後田35-1（福島県）_高圧蓄電所</t>
  </si>
  <si>
    <t>【接続検討回答書】No061_伊達市月舘町糠田字後田35-1（A61124146）.pdf</t>
  </si>
  <si>
    <t>電柱新設3本、高圧線新設15m、引込線10m、SVR(3,000kVA)新設、22/6kV柱上変圧器2.5MVA新設(特定負担100%)+22kV架空線10m、潮変電所No.2変圧器増設(20MVA)・1次CB設置</t>
  </si>
  <si>
    <t>あり：潮変電所No.2変圧器増設(20MVA)、220kV広島西幹線/作木支線N-1充電停止装置通信設備(共用負担0.6+0.5百万円)、広島系SSC取替。一般負担上限81.8百万円超過分186.7百万円を特定負担</t>
  </si>
  <si>
    <t>ノンファーム型接続（220kV作木支線/110kV潮熊見線）、再給電方式、N-1電制本格適用、力率 放電93%遅れ/充電93%進み一定、出力変化速度規定、充電停止あり。早期連系追加対策(充電制限)は不要</t>
  </si>
  <si>
    <t>同フォルダに【秘】書類確認結果（G松江670）.pdf（回答書ではない）あり</t>
  </si>
  <si>
    <t>【保留】/065_奥州市江刺藤里字外ノ沢539（岩手県）_高圧蓄電所</t>
  </si>
  <si>
    <t>【接続検討回答書】No065_奥州市江刺藤里字外ノ沢539（A23124078）.pdf</t>
  </si>
  <si>
    <t>1227</t>
  </si>
  <si>
    <t>2026-09-04</t>
  </si>
  <si>
    <t>1343_佐賀県鹿島市納富分1909</t>
  </si>
  <si>
    <t>2026-06-19</t>
  </si>
  <si>
    <t>島根県出雲市多枝町久村137-18（蓄電所）</t>
  </si>
  <si>
    <t>回答書なし。03.接続検討申込に九州電力送配電向け接続検討申込書xlsx・配置図・単線結線図・PCS/PAS/リレー/蓄電池/変圧器仕様書・工事工程表等の申込書類一式のみ（申込準備/申込済で回答未着とみられる）。他に現地写真jpg、案件チェックシート、スクリーニングpng。</t>
  </si>
  <si>
    <t>知井宮変電所（配電用／発電側課金区分）、基幹: 松江変電所。適合検討書上の供給線路は多伎変電所 新設線</t>
  </si>
  <si>
    <t>6kV新設線（久村(分)18M1号柱より分岐）、配電用変圧器3次巻線22kV引出し＋22/6kV柱上変圧器2.5MVA</t>
  </si>
  <si>
    <t>【保留】/070_五戸町字平佐窪89-1（青森県）_高圧蓄電所</t>
  </si>
  <si>
    <t>【接続検討回答書】No070_五戸町字平佐窪89-1（A13124082）.pdf</t>
  </si>
  <si>
    <t>確認済</t>
  </si>
  <si>
    <t>工事費負担金総額97.7百万円（消費税等8.8百万円含む）。税抜88.9百万円＝架空線8.7＋計量0.3＋上位系増強(基幹/地域/22kV)79.9。概算工事費総額341.1百万円(税込)。共用設備分は他事業者動向で変動</t>
  </si>
  <si>
    <t>工事費負担金の入金後55ヶ月程度（アクセス設備運用開始希望日2027/6/1には連系不可、連系時期調整要）</t>
  </si>
  <si>
    <t>入金後55ヶ月程度（希望日2027年6月1日は不可）</t>
  </si>
  <si>
    <t>6kV新設線・高圧線増架/新設(RW-AL-OC200mm2)、高圧引込線ACSR-OC58mm2、SVR(3,000kVA)1台、22kVスイッチギヤ新設、22/6kV柱上変圧器2.5MVA新設、計量</t>
  </si>
  <si>
    <t>あり: 松江変 N-1電制装置設置(基幹)、110kV松江知井宮線・知井宮変110/66kV N-1電制装置(地域)、22kV配電関係(柱上変圧器新設他)。上位系統増強工事計79.9百万円(税抜負担分)</t>
  </si>
  <si>
    <t>ノンファーム型接続（北松江変500/220kV、66kV知井宮大田線）、再給電方式(一定の順序)、ローカル系統混雑管理、N-1電制本格適用、力率93%一定(放電遅れ/充電進み)、充電停止の可能性、出力変化速度規定、早期連系追加対策(充電制限)は不要</t>
  </si>
  <si>
    <t>要修正</t>
  </si>
  <si>
    <t>ファイル名・フォルダは知井宮町1360-1だが、本文は受付番号G松江767・発電場所『島根県出雲市多枝町久村137-18蓄電所』（申込者パワーエックス）。別案件の回答書が誤格納の可能性あり要確認。ZIP(59MB)は未展開 ／【要確認】本文は受付G松江767・発電場所 多伎町久村137-18＝1279案件の回答書。1227フォルダへの誤格納の可能性</t>
  </si>
  <si>
    <t>071_喜多方市松山町鳥見山字中村道下堰西5045-1（福島県）_高圧蓄電所</t>
  </si>
  <si>
    <t>【接続検討回答書】No071_喜多方市松山町鳥見山字中村道下堰西5045-1（A64224019）.pdf</t>
  </si>
  <si>
    <t>7月メモ: メモは再接続検討回答(A64225404)側に対応（メモ:喜多方市松山 No071）</t>
  </si>
  <si>
    <t>01.接続検討申込書/1227（JR西日本）_接続検討回答書_島根県出雲市知井宮町1360-1.pdf</t>
  </si>
  <si>
    <t>1228</t>
  </si>
  <si>
    <t>110kV特高事業者線（No.26/27/28鉄塔改造・新設・除却）</t>
  </si>
  <si>
    <t>スキャン画像PDF(13MB)。テキスト抽出は工事概要図ページの断片のみ（【秘】接続検討回答書（G福山422）、110kV、25,000kW等）。サイズ超過のためダウンロード/OCR未実施</t>
  </si>
  <si>
    <t>【再接続検討回答書】No071_喜多方市松山町鳥見山字中村道下堰西5045-1（A64225404）.pdf</t>
  </si>
  <si>
    <t>受付番号G福山422（中国電力NW）と推定。工事費負担金・工期・回答日は読取不可。同フォルダにZIP2件(52MB/59MB、20MB超で未展開)。110kV/66kVパターン両方の申込書あり</t>
  </si>
  <si>
    <t>工期と別にバンク/上位系対策待ち / 負担金が10億円以上（上位系統増強・一般負担上限超過分を含む。原本で金額確認） / 7月メモ: 工期一致(7ヶ月)・上位系統増強10年2ヶ月も一致。負担金はメモに値なし（メモ:喜多方市松山 No071）</t>
  </si>
  <si>
    <t>接続検討申込書（修正版_20260604）/1228（JR西日本）_接続検討回答書_広島県福山市神島町142-2.pdf</t>
  </si>
  <si>
    <t>1239</t>
  </si>
  <si>
    <t>2024-01-10</t>
  </si>
  <si>
    <t>072_福島市小倉寺字中大巻5-1他（福島県）_高圧蓄電所</t>
  </si>
  <si>
    <t>2023-12-11</t>
  </si>
  <si>
    <t>フェニックスエナジー</t>
  </si>
  <si>
    <t>【接続検討回答書】No072_福島市小倉寺字中大巻5-1他（A61125540）.pdf</t>
  </si>
  <si>
    <t>茨城県つくばみらい市野堀611-1</t>
  </si>
  <si>
    <t>運開希望日に間に合わず / 格納フォルダ名に「※無効」</t>
  </si>
  <si>
    <t>常総変電所（275/66kV、基幹用変電所）</t>
  </si>
  <si>
    <t>66kV取手線系の既設送電線（66kV神生ソーラー線）No.3鉄塔より1回線分岐</t>
  </si>
  <si>
    <t>工事費負担金総額131.0百万円（消費税等11.9百万円含む）。税抜119.1百万円＝架空線111.7＋通信4.0＋計量3.4。概算工事費138.8百万円(税込)</t>
  </si>
  <si>
    <t>工事費負担金の入金後1年6ヶ月程度（契約申込受付後・損害実費弁償契約締結後2年10ヶ月程度）。運用開始希望日2024/10/1には連系不可</t>
  </si>
  <si>
    <t>工程表上アクセス設備供給可能時期2026/12</t>
  </si>
  <si>
    <t>66kVアクセス線新設ACSR/AC160mm2×1回線0.04km、既設No.3鉄塔建替1基、電線移線0.22km、通信(受電状態自動伝達装置・光/メタル0.2km・ノンファーム設備)、VCT・計量器新設</t>
  </si>
  <si>
    <t>なし（上位系増強工事の記載なし）</t>
  </si>
  <si>
    <t>ノンファーム型接続（275kV東京北線・鹿島線）、再給電方式(一定の順序)、N-1電制本格適用、1回線連系に伴う抑制、充電抑制/停止の可能性</t>
  </si>
  <si>
    <t>受付番号JK23GHZ014338。金額・工期は2023年2月15日付接続検討回答書の値を記載と明記（再回答）。系統連系保証金6,543千円(税込)。同フォルダに受理済み系統連系申込書・保証金請求書・損害実費弁償契約書・供給承諾書(2025/04/14)・TEPCO打合せ資料(2025/3/25)あり。つくば_案件紹介資料.zip(44MB)未展開</t>
  </si>
  <si>
    <t>1167_長野県佐久市安原（本久）</t>
  </si>
  <si>
    <t>回答書なし。接続検討申込書(中部_高圧, 2026-02-23作成)・PCS出力制限・出力制御装置仕様確認依頼書、申込時提出資料(機器仕様書等)、登記簿PDF、自社スクリーニング画像/チェックシート/ルート表のみ（申込準備段階）</t>
  </si>
  <si>
    <t>【保留】/073_六戸町大字犬落瀬字四木62-1（青森県）_高圧蓄電所</t>
  </si>
  <si>
    <t>【接続検討回答書】No073_六戸町大字犬落瀬字四木62-1（A13324073）.pdf</t>
  </si>
  <si>
    <t>Document for Utility_電力関連資料/20240110_接続検討回答書_つくばみらい.pdf</t>
  </si>
  <si>
    <t>1244</t>
  </si>
  <si>
    <t>2026-09-15</t>
  </si>
  <si>
    <t>株式会社パワーエックス（受付番号2026-82-00685）</t>
  </si>
  <si>
    <t>兵庫県高砂市阿弥陀町北池字向沖190（(仮称)PX兵庫高砂市蓄電所）</t>
  </si>
  <si>
    <t>天川配電線</t>
  </si>
  <si>
    <t>【保留】/074_階上町大字道仏字耳ケ吠1-15（青森県）_高圧蓄電所</t>
  </si>
  <si>
    <t>【接続検討回答書】No074_階上町大字道仏字耳ケ吠1-15（A13124109）.pdf</t>
  </si>
  <si>
    <t>工事費負担金の総額22.8百万円（消費税等相当額 百万円を含む＝金額欄空欄）。税抜20.7百万円＝架空線工事20.5＋計量設備工事0.2。概算工事費総額23.0百万円（税抜20.9）。一般負担上限超過0.0。</t>
  </si>
  <si>
    <t>工事費負担金の入金後 30ヶ月程度（概略工程表上は契約手続き期間を含まず）。運用開始希望日には連系不可、連系時期の調整が必要</t>
  </si>
  <si>
    <t>運用開始希望日2027年6月1日は連系不可。連系可能は工事費負担金入金から30ヶ月後</t>
  </si>
  <si>
    <t>電柱新設3本・建替21本、高圧線新設1207m（アルミ120sq）・張替346m（銅5.0mm→アルミ120sq）、変圧器位置替13台、手動開閉器新設1・位置替2、自動開閉器位置替3、電圧調整器(SVR)新設1台3500kVA、高圧引込線20m、計量器2台・VCT1台・通信端局2台</t>
  </si>
  <si>
    <t>上位系増強工事なし</t>
  </si>
  <si>
    <t>ノンファーム型接続適用（主な混雑設備：北摂変電所500/275kV変圧器、停止作業94日/年）。基幹系は再給電方式（一定の順序）。早期連系追加対策（充電制限）は希望されたが現時点で不要と判定。出力変化速度5秒以上、力率一定制御0.9（整定値表）、自動再連系不可。蓄電池特別措置適用前提で算定。N-1電制本格適用。OCR・DGR保護協調は契約申込時に実施。</t>
  </si>
  <si>
    <t>最大自家消費電力95kWをcapacity_kw_chargeに記載（原文「最大自家消費電力：95kW」）。消費税額欄が空欄のため税込額は総額表記どおり。同一内容のPDFが案件フォルダ直下にも「接続検討申込に対する回答」(id 11wMRjmY9vR_k2lPjFjtXH2YMcHdAn1fg, 同サイズ515012B)として重複保存。</t>
  </si>
  <si>
    <t>【保留】/075_南部町大字剣吉字蒼前上17-2（青森県）_高圧蓄電所</t>
  </si>
  <si>
    <t>【接続検討回答書】No075_南部町大字剣吉字蒼前上17-2（A13124111）.pdf</t>
  </si>
  <si>
    <t>03.接続検討申込書一式/1244（藤栄建設）_接続検討申込に対する回答_兵庫県高砂市阿弥陀町北池字向沖190番.pdf</t>
  </si>
  <si>
    <t>1279</t>
  </si>
  <si>
    <t>【保留】/077_階上町大字赤保内字西山12-1（青森県）_高圧蓄電所</t>
  </si>
  <si>
    <t>【接続検討回答書】No077_階上町大字赤保内字西山12-1（A13124110）.pdf</t>
  </si>
  <si>
    <t>パスワード付き（PDFがユーザーパスワードで暗号化）。中国電力NWのパスワードは案件ごとにランダムに発行される（G松江691の通知メールで確認）。G松江767の『受領およびパスワードのご連絡』メールやパスワードのメモは、案件フォルダ内（再帰的に）、Drive全体の検索、Gmailのいずれにも見つからなかった</t>
  </si>
  <si>
    <t>ファイル名(G松江767=中国電力NW松江の受付番号と推定)以外読めず全項目null。同フォルダに接続検討申込書xlsx・PCS仕様確認依頼書・単線結線図(2.5MVA 6.6kV 60Hz昇圧変圧器)・機器仕様書あり。パスワード入手後に再抽出要。 中国電力NWの受付担当（ネットワークサービスセンター）が発行した通知メールを入手するか、PDFを再送してもらう必要がある。 ／1227フォルダに同じG松江767の読める回答書あり（97.7百万円税込・入金後55ヶ月）</t>
  </si>
  <si>
    <t>083_八戸市大字白銀町字佐部長根24-169（青森県）_高圧蓄電所</t>
  </si>
  <si>
    <t>【接続検討回答書】No083_八戸市大字白銀町字佐部長根24-169（A13124112）.pdf</t>
  </si>
  <si>
    <t>02.接続検討/【秘】接続検討回答書（G松江767）.pdf</t>
  </si>
  <si>
    <t>1315</t>
  </si>
  <si>
    <t>2026-09-25</t>
  </si>
  <si>
    <t>長野県上水内郡信濃町大字大井字市道端2272番1（（仮称）信濃蓄電所）</t>
  </si>
  <si>
    <t>牟礼変電所</t>
  </si>
  <si>
    <t>連系否。工事費負担金概算は207百万円以上（消費税等相当額を含む）。配変増強のみで負担可能上限額を超過、配電線以下工事は未検討・未計上</t>
  </si>
  <si>
    <t>連系否</t>
  </si>
  <si>
    <t>牟礼変電所（配電用変電所）の増強が必要</t>
  </si>
  <si>
    <t>配電用変電所増強（牟礼変電所 熱容量超過）。費用が負担可能上限額を超過</t>
  </si>
  <si>
    <t>連系否（理由:配変増強で負担金上限を超過するため）。代替案・連系可能最大受電電力の提示なし</t>
  </si>
  <si>
    <t>【中止】/087_陸前高田市米崎町字糠塚沢97-1（岩手県）_高圧蓄電所</t>
  </si>
  <si>
    <t>【接続検討回答書】No087_陸前高田市米崎町字糠塚沢97-1（A22324067）.pdf</t>
  </si>
  <si>
    <t>連系否の回答。受付番号AAD510748080。同一内容のファイルが03_電力申請/1315_接続検討申込みに対する回答について_中部電力NW_長野県上水内郡信濃町大字大井字市道端2279番4.pdf (id 1TBV299-lhcB9nz3p0aiYcfA5guFIkZlV, 同サイズ261852B) にも重複保存</t>
  </si>
  <si>
    <t>連系不可</t>
  </si>
  <si>
    <t>PXさまから共有いただいたパッケージ</t>
  </si>
  <si>
    <t>案件フォルダではなくPXの標準機器パッケージ資料（Mega Power/PCS/変圧器/監視制御/出力抑制ユニットTSO個別認定証明書(各一般送配電の出力制御機能付PCS協議完了通知)/系統連系協議資料・接続検討申込書雛形/消防/類焼試験/広域認定/ロジ/O&amp;M）。接続検討等の回答書なし</t>
  </si>
  <si>
    <t>1316</t>
  </si>
  <si>
    <t>【保留】/088_遠野市遠野町31地割47-1（岩手県）_高圧蓄電所</t>
  </si>
  <si>
    <t>【接続検討回答書】No088_遠野市遠野町31地割47-1（A23524011）.pdf</t>
  </si>
  <si>
    <t>2025-09-24</t>
  </si>
  <si>
    <t>2025-06-24</t>
  </si>
  <si>
    <t>Akaysha Energy Japan株式会社（受付番号 託2024_2340）</t>
  </si>
  <si>
    <t>北海道虻田郡喜茂別町中里376-1,379-1（（仮称）AKJ西双葉蓄電所）</t>
  </si>
  <si>
    <t>275kV</t>
  </si>
  <si>
    <t>275kV道央西幹線（西野変電所～西双葉開閉所）</t>
  </si>
  <si>
    <t>275kV道央西幹線 No.111付近より2回線T分岐（2回線常時）、連系用開閉器にて架空線と気中接続</t>
  </si>
  <si>
    <t>工事費負担金総額814.5百万円（消費税等相当額74.1百万円を含む）。税抜740.4百万円＝架空線448.0＋通信設備203.0＋計量設備89.4（変電・給電は0）。概算工事費総額1,929.0百万円（税175.4含む、税抜1,753.6）。一般負担分923.8百万円、上限超過0。</t>
  </si>
  <si>
    <t>状態: 進行中。 回答一覧No48</t>
  </si>
  <si>
    <t>工事費負担金の入金後 3年程度（契約申込2025年10月・入金2027年2月までと仮定。ノンファームシステム開発期間は含まず）</t>
  </si>
  <si>
    <t>アクセス設備の運用開始可能日：2030年3月上旬（希望日2027年9月30日は連系不可）</t>
  </si>
  <si>
    <t>鉄塔新設2基・道央西幹線No.111建替、275kV連系線新設0.3km（ACSR/AC410mm2複導体×2回線）、No.110～112間移線0.8km、電磁誘導対策、保護継電装置取替4式（西双葉開閉所・西野変電所）、給電システム改修2式、通信装置・光ケーブル0.4km、特別精密級計量器2台。申込者側：STATCOM等無効電力補償装置 容量性230MVar・誘導性230MVar程度（概算）</t>
  </si>
  <si>
    <t>上位系統増強なし（基幹系増強の記載なし。変電・給電・通信の一般負担分のみ）</t>
  </si>
  <si>
    <t>ノンファーム型接続適用（出力制御量に影響を与える主な設備：なし）、基幹系再給電方式。電圧変動対策（STATCOM等）要、送電線保護は主後一体型2系列、系統安定化システム設置の可能性、出力変動幅±400MWに対する変化率制約の可能性、N-1電制本格適用、順潮流側は作業停止時・系統状況により充電停止の可能性。</t>
  </si>
  <si>
    <t>申込者はAkaysha Energy Japan（PX/ソーラークリエートではない）。案件フォルダ「電力関連」に表紙・(1)工事検討結果・(2)計量設備回答書・(3)計量設備接続構造図・(4)運用制約による電圧変動対策・注意事項と一式で保管。土地契約書も「西双葉」名義で本案件(喜茂別町)と同一地点と推定。最大自家消費電力411,100kWをcapacity_kw_chargeに記載。</t>
  </si>
  <si>
    <t>【接続検討回答書】No088_遠野市遠野町31地割47-1（A23525414）.pdf</t>
  </si>
  <si>
    <t>008_三春町字樋ノ口144-1（福島県）_高圧蓄電所</t>
  </si>
  <si>
    <t>状態: 進行中。系統連系承諾書・工事負担金請求書が別にあるが、今回は接続検討回答書のみ対象 回答一覧No49</t>
  </si>
  <si>
    <t>電力関連/接続検討回答書（AKJ西双葉蓄電所_Akaysha Energy Japan㈱）.pdf</t>
  </si>
  <si>
    <t>【保留】/089_盛岡市下田字仲平182-1（岩手県）_高圧蓄電所</t>
  </si>
  <si>
    <t>1326</t>
  </si>
  <si>
    <t>【接続検討回答書】No089_盛岡市下田字仲平182-1（A21124158）.pdf</t>
  </si>
  <si>
    <t>株式会社大栄工業</t>
  </si>
  <si>
    <t>三重県伊賀市予野字向川540番1（伊賀市予野540-1(蓄電池)）</t>
  </si>
  <si>
    <t>032_川崎町大字川内字七曲山77（宮城県）_高圧蓄電所</t>
  </si>
  <si>
    <t>状態: 進行中。 回答一覧No52</t>
  </si>
  <si>
    <t>連系工事費負担金 金13,337,722円（内消費税等1,212,520円）。系統連系保証金589,000円(2025/11/17支払済)を差引いた支払工事費負担金12,748,722円</t>
  </si>
  <si>
    <t>支払工事費負担金は請求日から1ヶ月以内に支払</t>
  </si>
  <si>
    <t>架空線工事一式、計量設備工事一式</t>
  </si>
  <si>
    <t>回答書ではなく連系工事費負担金契約書（中部電力PG、甲:大栄工業）。契約日の記載はOCR上『2006年7月6日』だが別通知では2026年7月16日付契約とされる。申込日は契約書上2025年10月27日付。回答書本体は1326_三重県伊賀市予野字向川540番2フォルダにあり（同一案件）。他に名義変更通知書docx2件</t>
  </si>
  <si>
    <t>状態: 進行中。 回答一覧No54,55</t>
  </si>
  <si>
    <t>【保留】/090_八幡平市松尾寄木第13地割391（岩手県）_高圧蓄電所</t>
  </si>
  <si>
    <t>【接続検討回答書】No090_八幡平市松尾寄木第13地割391（A21125409）.pdf</t>
  </si>
  <si>
    <t>工事負担金契約書.pdf</t>
  </si>
  <si>
    <t>77kV荒木上野線（潮流実績グラフのみ判読）</t>
  </si>
  <si>
    <t>スキャン画像PDF(5.8MB)。テキスト抽出はグラフ断片のみで本文読取不可（サイズのためダウンロード/OCR未実施）</t>
  </si>
  <si>
    <t>接続検討回答書（中部電力PG）と推定。後続の契約申込回答書(KK5390)に主要条件あり</t>
  </si>
  <si>
    <t>状態: 進行中。 回答一覧No74,75</t>
  </si>
  <si>
    <t>【保留】/097_御前崎市比木1725-1（静岡県）_高圧蓄電所</t>
  </si>
  <si>
    <t>【接続検討回答書】No097_御前崎市比木1725-1（AAD240655239）.pdf</t>
  </si>
  <si>
    <t>状態: 進行中。 回答一覧No76,77</t>
  </si>
  <si>
    <t>2026-03-25</t>
  </si>
  <si>
    <t>伊賀市予野540-2蓄電池</t>
  </si>
  <si>
    <t>【保留】/099_八戸市大字白銀町字佐部長根24-86（青森県）_高圧蓄電所</t>
  </si>
  <si>
    <t>【接続検討回答書】No099_八戸市大字白銀町字佐部長根24-86（A13125435）.pdf</t>
  </si>
  <si>
    <t>接続検討の要否確認結果：接続検討申込は不要（地番540-2→540-1へ変更可能）。工事費・工期の記載なし</t>
  </si>
  <si>
    <t>状態: 進行中。 回答一覧No82</t>
  </si>
  <si>
    <t>接続検討の要否確認依頼に対する結果について.pdf</t>
  </si>
  <si>
    <t>【再接続検討回答書】No099_八戸市大字白銀町字佐部長根24-86（A13125553）.pdf</t>
  </si>
  <si>
    <t>2026-05-28</t>
  </si>
  <si>
    <t>2025-12-02</t>
  </si>
  <si>
    <t>093_八戸市大字櫛引字烏館場1-1（青森県）_高圧蓄電所</t>
  </si>
  <si>
    <t>三重県伊賀市予野字向川540番2</t>
  </si>
  <si>
    <t>状態: 進行中。系統連系承諾書が別にあるが、今回は接続検討回答書のみ対象 回答一覧No88</t>
  </si>
  <si>
    <t>予野変電所（配電用）、基幹系: 中勢275/77変電所</t>
  </si>
  <si>
    <t>予野変電所F25 56ﾇ191より分岐</t>
  </si>
  <si>
    <t>工事費負担金13,337,722円（消費税等1,212,520円含む）=概算工事費。税抜12,125,203円＝架空線11,973,208＋計量151,995。支払済系統連系保証金を差引いて請求</t>
  </si>
  <si>
    <t>工事費負担金の入金後29ヶ月程度（運用開始希望日2026/4/1は所要工期超過のため調整要）</t>
  </si>
  <si>
    <t>高圧線張替316m（5mm→OC-W60mm2）、高圧引込線新設10m、電圧調整器取替1台、計量器・VCT</t>
  </si>
  <si>
    <t>別紙工程表に『上位系統』『先行件名』の記載あり（詳細不明）</t>
  </si>
  <si>
    <t>ノンファーム型接続（西部変500/275kV、新鈴鹿変275/77kV、77kV新鈴鹿壬生野線・荒木壬生野線・荒木上野線・白樫分岐線）、再給電方式(一定の順序)、ローカル系統混雑管理、N-1電制本格適用、PCS力率一定0.98、手動復帰、早期連系追加対策(充電制限)留意事項あり</t>
  </si>
  <si>
    <t>連系工事費負担金契約の締結意思を2026年6月29日までに表示（01案内）</t>
  </si>
  <si>
    <t>受付番号KK5390。同内容PDF(02 契約申込回答書（KK5390）.pdf, id=1P3ezrP3TiQAGK5rjy2e_o7HaJ0aL3Zyk)あり、本文はdocx版から読取。申込受付日2025/12/2は01案内記載（工事負担金契約書では2025/10/27付申込）。保証金589,000円は工事負担金契約書記載。別紙03〜06（取り決め・検討結果説明書・工事概要図・所要工期）同梱。連系工事費負担金契約締結済み(13,337,722円)、2026/9/16付で発電者名を大栄工業→パワーエックスに変更</t>
  </si>
  <si>
    <t>116_笠岡市今立2509-1（岡山県）_高圧蓄電所</t>
  </si>
  <si>
    <t>状態: 進行中。契約申込みの回答（承諾）のPDFが別にあるが、今回は接続検討回答書のみ対象 回答一覧No99</t>
  </si>
  <si>
    <t>【保留】/105_新地町谷地小屋字南狼沢2-2（福島県）_高圧蓄電所</t>
  </si>
  <si>
    <t>【接続検討回答書】No105_新地町谷地小屋字南狼沢2-2（A61225449）.pdf</t>
  </si>
  <si>
    <t>02 契約申込回答書（KK5390）.docx</t>
  </si>
  <si>
    <t>130_和気町藤野1263（岡山県）_高圧蓄電所</t>
  </si>
  <si>
    <t>状態: 進行中。 回答一覧No107</t>
  </si>
  <si>
    <t>2026-09-16</t>
  </si>
  <si>
    <t>伊賀市予野540-1（蓄電池）</t>
  </si>
  <si>
    <t>【保留】/106_磐田市社山493-18（静岡県）_高圧蓄電所</t>
  </si>
  <si>
    <t>【接続検討回答書】No106_磐田市社山493-18（AAD241604839）.pdf</t>
  </si>
  <si>
    <t>2026/7/16付連系工事費負担金契約の発電者名を株式会社大栄工業→株式会社パワーエックスへ変更した旨の通知（名義変更通知書2026/9/8付に基づく）</t>
  </si>
  <si>
    <t>140_大田市大田町大田ｲ1609-1（島根県）_高圧蓄電所</t>
  </si>
  <si>
    <t>状態: 進行中。 回答一覧No115</t>
  </si>
  <si>
    <t>発電者名の変更について（お知らせ）</t>
  </si>
  <si>
    <t>147_福山市引野町4968他（広島県）_高圧蓄電所</t>
  </si>
  <si>
    <t>1412</t>
  </si>
  <si>
    <t>状態: 進行中。 回答一覧No120</t>
  </si>
  <si>
    <t>【保留】/108_八戸市大字大久保字大山79-19（青森県）_高圧蓄電所</t>
  </si>
  <si>
    <t>2026-08-28</t>
  </si>
  <si>
    <t>【接続検討回答書】No108_八戸市大字大久保字大山79-19（A13125446）.pdf</t>
  </si>
  <si>
    <t>セブンシーズアドバイザーズ株式会社</t>
  </si>
  <si>
    <t>①アクセス線新設（新設電源線増強） 概算負担金 143百万円（税込）</t>
  </si>
  <si>
    <t>【保留】/110_佐久市布施2200-1（長野県）_高圧蓄電所</t>
  </si>
  <si>
    <t>【接続検討回答書】No110_佐久市布施2200-1（AAD522735200）.pdf</t>
  </si>
  <si>
    <t>概算工期 2年3ケ月（起点の記載なし）</t>
  </si>
  <si>
    <t>155_東広島市黒瀬町乃美尾1499-1他（広島県）_高圧蓄電所</t>
  </si>
  <si>
    <t>上位系統である変電所の設備対策が必要。この対策工事には少なくとも10年以上を要する可能性が高く、貴社蓄電所連系はその工事完了後</t>
  </si>
  <si>
    <t>アクセス線新設（新設電源線増強）</t>
  </si>
  <si>
    <t>有：順潮流時の送電容量確保のため上位系統変電所の設備対策が必要、少なくとも10年以上を要する可能性が高い</t>
  </si>
  <si>
    <t>最大受電電力に対する連系可否の確認であり接続供給契約の契約電力等を考慮した設備対策ではない。概算負担金は発電側最大受電電力が需要側契約電力を超過する想定で算出。送電線距離・架空/地中・周辺環境・周辺電源申込状況・電源線共用・制度変更による変動は未考慮</t>
  </si>
  <si>
    <t>状態: 進行中。03_電力配下に接続検討回答書・再接続検討回答書なし</t>
  </si>
  <si>
    <t>東京電力PGの『概算負担金・概算工期のお知らせ』（接続検討前の簡易回答。正式な接続検討回答ではない）。容量・電圧・変電所の記載なし。同フォルダ07.接続検討申込書一式に『秦野特高蓄電所』（66kV GIS仕様あり）の接続検討申込書xlsxがあるが回答書は未格納。概算工期2年3ヶ月とは別に上位系統対策10年以上が律速。</t>
  </si>
  <si>
    <t>157_新発田市八幡新田631-4（新潟県）_高圧蓄電所</t>
  </si>
  <si>
    <t>1437</t>
  </si>
  <si>
    <t>【保留】/112_松本市板場406（長野県）_高圧蓄電所</t>
  </si>
  <si>
    <t>【接続検討回答書】No112_松本市板場406（AAD535543550）.pdf</t>
  </si>
  <si>
    <t>2026-09-02</t>
  </si>
  <si>
    <t>2026-06-30</t>
  </si>
  <si>
    <t>株式会社リッチフィールド</t>
  </si>
  <si>
    <t>大阪府大阪市平野区長吉長原4丁目18-19</t>
  </si>
  <si>
    <t>158_大崎上島町中野3462-1他（広島県）_高圧蓄電所</t>
  </si>
  <si>
    <t>状態: 進行中。 回答一覧No123</t>
  </si>
  <si>
    <t>川辺変電所</t>
  </si>
  <si>
    <t>F38 南川辺配電線（高圧引込線ACOCL120sq 3m）</t>
  </si>
  <si>
    <t>工事費負担金の総額6,382.3千円（消費税等相当額を含む・額欄は空欄）／総額(消費税等相当額を除く)5,803.0千円。概算工事費総額6,599.5千円（税抜5,999.5千円）。主な項目: バンク逆潮流対策5,383.8千円。内訳列はテキスト抽出で崩れており要原本確認</t>
  </si>
  <si>
    <t>バンク逆潮流対策工事：2031年4月以降連系可／架空線・計量装置工事：工事費負担金の入金後3ヶ月程度</t>
  </si>
  <si>
    <t>バンク逆潮流対策工事完了後の2031年4月以降かつ工事費負担金入金から3ヶ月程度後</t>
  </si>
  <si>
    <t>バンク逆潮流対策1式、高圧引込線3m新設、引込用開閉器200A新設、計量器(受電・供給)・VCT・通信端局</t>
  </si>
  <si>
    <t>上位系増強工事の記載なし（バンク逆潮流対策が律速、2031年4月以降）</t>
  </si>
  <si>
    <t>ノンファーム型接続、再給電方式(一定の順序)、N-1電制本格適用、出力変化速度5秒以上、力率一定制御90%、早期連系追加対策(充電制限)は不要</t>
  </si>
  <si>
    <t>受付番号22-J0095。表紙に『＜第2案＞』とあり第1案はフォルダ内に無し。発電場所は回答書上18-19（フォルダ名は18-10）。工事費負担金の内訳列の対応がテキスト抽出で崩れているため内訳は要原本確認。税込判断は税抜総額5,803.0千円×1.1≒6,382.3千円による</t>
  </si>
  <si>
    <t>161_聖籠町大字桃山724-1（新潟県）_高圧蓄電所</t>
  </si>
  <si>
    <t>【保留】/114_八戸市大字大久保字大塚17-427（青森県）_高圧蓄電所</t>
  </si>
  <si>
    <t>【接続検討回答書】No114_八戸市大字大久保字大塚17-427（A13125516）.pdf</t>
  </si>
  <si>
    <t>167_鹿角市花輪字乳牛平157他（秋田県）_高圧蓄電所</t>
  </si>
  <si>
    <t>状態: 進行中。回答書なし。02-1_仮回答に「東北電力連絡」PDF4件のみ</t>
  </si>
  <si>
    <t>【接続検討回答書】No116_笠岡市今立2509-1（G倉敷330）.pdf</t>
  </si>
  <si>
    <t>画像PDFを画面表示で目視読取（数値は原本と要照合） / 運開希望日に間に合わず</t>
  </si>
  <si>
    <t>画像のみPDF（read_file_contentでテキスト空）かつ10.6MBでdownload_file_contentの10MB上限超過のためダウンロード不可</t>
  </si>
  <si>
    <t>ファイル名から2025-09-11付の接続検討回答書と推定（未読）。参考：同フォルダ『20260519_工事負担金請求書.pdf』(id 1TAxIersnPI0NGEzzlDPtXSDPtZfJJQ8g)は読取可で、九州電力送配電 日田配電事業所→アークエル株式会社、2026-05-19発行、使用場所 熊本県阿蘇郡小国町大字下城三俣263（杖立第一蓄電所）、工事件名『発電所新設申込に伴う系統連系工事』、請求金額34,251,663円（10%対象、うち消費税等3,113,787円）、支払期日2026-06-18、単独申込。概算工事金額34,516,663円（税込）=配電設備工事(電柱新設2本・高圧線585m・高圧引込線90m等)+バンク逆潮流対策 杖立変電所 1,320円/kW(税込)×1,999kW=2,638,680円。フォルダには接続検討申込書・接続供給/発電量調整供給申込書xlsxもあり。サブフォルダ『イノスタ提出済み/02.接続検討』には大阪府池田市桃園案件の申込書類が混在</t>
  </si>
  <si>
    <t>169_八郎潟町川崎字昼寝262-1他（秋田県）_高圧蓄電所</t>
  </si>
  <si>
    <t>【保留】/119_高梁市落合町近似917-1（岡山県）_高圧蓄電所</t>
  </si>
  <si>
    <t>【接続検討回答書】No119_高梁市落合町近似917-1（G倉敷331）.pdf</t>
  </si>
  <si>
    <t>170_男鹿市北浦野村字前野125-1（秋田県）_高圧蓄電所</t>
  </si>
  <si>
    <t>2025-01-23</t>
  </si>
  <si>
    <t>株式会社西日本パワーエナジー</t>
  </si>
  <si>
    <t>熊本県玉名郡南関町大字豊永2864他48筆（熊本県南関町A蓄電所）</t>
  </si>
  <si>
    <t>三池変電所/西山鹿変電所/南関変電所（110kV西山鹿三池線）</t>
  </si>
  <si>
    <t>110kV西山鹿三池線 №52鉄塔分岐（1L連系）、ACSR160mm2連系線</t>
  </si>
  <si>
    <t>工事費負担金の総額311.4百万円（消費税等相当額28.3百万円を含む）／税抜283.1百万円=単独負担266.8(架空線223.0・通信18.1・計量25.7)+共同負担16.3(架空線0.9・変電15.2・通信0.2)。概算工事費総額529.9百万円（税込）</t>
  </si>
  <si>
    <t>171_男鹿市払戸字横長根119-2（秋田県）_高圧蓄電所</t>
  </si>
  <si>
    <t>工事費負担金の入金後 2年8か月程度（当社施工範囲のみ、手続遅延時は更に要する可能性）</t>
  </si>
  <si>
    <t>運用開始希望日2028年6月1日。連系時期は別途協議</t>
  </si>
  <si>
    <t>西山鹿三池線№52鉄塔建替、TACSR610張替0.8km(№52～53)、連系線0.1km新設、光ケーブル13km(西山鹿変電所～発電所)、給電情報伝送装置、PCM+DZ保護装置取替(三池・南関・西山鹿)、計量装置</t>
  </si>
  <si>
    <t>基幹系統増強なし。三池変電所(220kV)N-1故障時過負荷対策としてC蓄電所に転送遮断装置設置。PCM取替(三池・西山鹿・南関)</t>
  </si>
  <si>
    <t>ノンファーム型接続（出力制御影響:220kV三池変電所）、再給電方式、ローカル系統混雑管理システム(2027年4月頃運開予定)によるオンライン制御、N-1電制本格適用、連系点力率一定制御+出力変化速度4%MW/分以下（緩和には±35MVA無効電力調整装置）、単独運転検出機能オフ、特措適用(有)前提、充電停止あり</t>
  </si>
  <si>
    <t>【保留】/120_美作市大町1527-2（岡山県）_高圧蓄電所</t>
  </si>
  <si>
    <t>工事費負担金請求から原則1か月以内に入金（未入金で契約解除の場合あり）。A/B/C蓄電所の同時連系が前提（いずれか不成立で回答無効）</t>
  </si>
  <si>
    <t>【接続検討回答書】No120_美作市大町1527-2（G岡山676）.pdf</t>
  </si>
  <si>
    <t>発電量調整供給契約申込み(契約申込)に対する技術検討回答書（契ネ契第2182号, 2025-07-22付）。回答書本体の回答日欄は空欄『2025年 月 日』。ファイル名末尾r（再提出/改訂版か）。案件フォルダ名は『設備変更』だが本書は当初の契約申込回答。A/B/C 3蓄電所計約203MW。同フォルダに連系承諾通知(№23251)・工事費負担金契約書A(2025-08-25)・Amended grid construction cost agreement(2026-02-09)あり。deposit_yenは同フォルダ工事費負担金契約書(2025-08-25締結/2026-02-09一部変更)記載の2025-04-15支払済保証金。同契約書の工事費負担金見積額は回答書と同額、需給開始希望日2028-06-30、分割入金予定（本体工事2027年1月等）</t>
  </si>
  <si>
    <t>172_東広島市黒瀬町津江4403-3他（広島県）_高圧蓄電所</t>
  </si>
  <si>
    <t>【株式会社西日本パワーエナジーさま】技術検討回答書(23251)r.pdf</t>
  </si>
  <si>
    <t>【保留】/121_津山市中北下344-36（岡山県）_高圧蓄電所</t>
  </si>
  <si>
    <t>【接続検討回答書】No121_津山市中北下344-36（G岡山732）.pdf</t>
  </si>
  <si>
    <t>173_阿賀野市保田5955-23（新潟県）_高圧蓄電所</t>
  </si>
  <si>
    <t>熊本県玉名郡南関町大字豊永2760他41筆（熊本県南関町B蓄電所）</t>
  </si>
  <si>
    <t>110kV西山鹿三池線 新№51分岐（2L連系）、ACSR160mm2連系線</t>
  </si>
  <si>
    <t>工事費負担金の総額186.1百万円（消費税等相当額16.9百万円を含む）／税抜169.2百万円=単独負担55.6(架空線11.8・通信18.1・計量25.7)+共同負担113.6(架空線98.2・変電15.2・通信0.2)。概算工事費総額515.4百万円（税込）</t>
  </si>
  <si>
    <t>174_村上市切田9-7（新潟県）_高圧蓄電所</t>
  </si>
  <si>
    <t>西山鹿三池線№51鉄塔建替(共同負担、182.8百万円の50%)、TACSR610張替0.8km、連系線0.1km、光ケーブル13km、給電情報伝送装置、PCM+DZ保護装置取替、計量装置</t>
  </si>
  <si>
    <t>発電量調整供給契約申込みに対する技術検討回答書（契ネ契第2183号, 2025-07-22付）。回答日欄空欄。A/C蓄電所同時連系前提。同フォルダに連系承諾通知(№23252)・工事費負担金契約書Bあり。deposit_yenは同フォルダ工事費負担金契約書(2025-08-25締結/2026-02-09一部変更)記載の2025-04-15支払済保証金。同契約書の工事費負担金見積額は回答書と同額、需給開始希望日2028-06-30、分割入金予定（本体工事2027年1月等）</t>
  </si>
  <si>
    <t>【保留】/122_真庭市三阪83-1他（岡山県）_高圧蓄電所</t>
  </si>
  <si>
    <t>【接続検討回答書】No122_真庭市三阪83-1他（G岡山733）.pdf</t>
  </si>
  <si>
    <t>175_胎内市村松浜1683-1（新潟県）_高圧蓄電所</t>
  </si>
  <si>
    <t>【株式会社西日本パワーエナジーさま】技術検討回答書(23252)r.pdf</t>
  </si>
  <si>
    <t>熊本県玉名郡南関町大字豊永2753他47筆（熊本県南関町C蓄電所）</t>
  </si>
  <si>
    <t>【保留】/123_吉備中央町湯山1382-1（岡山県）_高圧蓄電所</t>
  </si>
  <si>
    <t>【接続検討回答書】No123_吉備中央町湯山1382-1（G倉敷363）.pdf</t>
  </si>
  <si>
    <t>110kV西山鹿三池線 新№51分岐（1L連系）、ACSR160mm2連系線</t>
  </si>
  <si>
    <t>画像PDFを画面表示で目視読取（数値は原本と要照合） / 運開希望日に間に合わず / 工期と別にバンク/上位系対策待ち</t>
  </si>
  <si>
    <t>176_三種町森岳字横沢堤頭56-29（秋田県）_高圧蓄電所</t>
  </si>
  <si>
    <t>工事費負担金の総額182.9百万円（消費税等相当額16.6百万円を含む）／税抜166.3百万円=単独負担68.1(架空線11.8・通信30.6・計量25.7)+共同負担98.2(架空線)。概算工事費総額450.1百万円（税込）</t>
  </si>
  <si>
    <t>西山鹿三池線№51鉄塔建替(共同負担)、TACSR610張替、連系線0.1km、光ケーブル(西山鹿・三池～発電所)、三池変電所転送遮断装置(送信盤)+C蓄電所受信盤、励磁突入電流抑制装置(貴社)、給電情報伝送装置、計量装置</t>
  </si>
  <si>
    <t>三池変電所220/110kV主要変圧器N-1故障時の順潮流(充電)過負荷対策として転送遮断装置(三池ss送信盤19.9百万円等)設置。基幹系統増強なし</t>
  </si>
  <si>
    <t>発電量調整供給契約申込みに対する技術検討回答書（契ネ契第2184号, 2025-07-22付）。回答日欄空欄。A/B蓄電所同時連系前提。主要変圧器事故時の充電停止(転送遮断)条件あり。同フォルダに連系承諾通知(№23253)・工事費負担金契約書Cあり。deposit_yenは同フォルダ工事費負担金契約書(2025-08-25締結/2026-02-09一部変更)記載の2025-04-15支払済保証金。同契約書の工事費負担金見積額は回答書と同額、需給開始希望日2028-06-30、分割入金予定（本体工事2027年1月等）</t>
  </si>
  <si>
    <t>177_にかほ市象潟町小滝字旭塚28-3（秋田県）_高圧蓄電所</t>
  </si>
  <si>
    <t>【保留】/124_高梁市中井町津々4288-1（岡山県）_高圧蓄電所</t>
  </si>
  <si>
    <t>【接続検討回答書】No124_高梁市中井町津々4288-1（G倉敷402）.pdf</t>
  </si>
  <si>
    <t>【株式会社西日本パワーエナジーさま】技術検討回答書(23253)r.pdf</t>
  </si>
  <si>
    <t>178_鹿角市花輪字柴内太田谷地24-1他（秋田県）_高圧蓄電所</t>
  </si>
  <si>
    <t>2025-09-03</t>
  </si>
  <si>
    <t>三池変電所（系統設備効率化割引A対象変電所、割引A-2）</t>
  </si>
  <si>
    <t>承諾通知本文には工事費負担金の記載なし（技術検討回答書記載額は税込311.4百万円）</t>
  </si>
  <si>
    <t>契約申込みを承諾、送配電等業務指針第97条に基づき連系予約確定。系統設備効率化割引A：A-2（三池変電所）</t>
  </si>
  <si>
    <t>【保留】/129_八戸市大字市川町字尻引前山9-1（青森県）_高圧蓄電所</t>
  </si>
  <si>
    <t>【接続検討回答書】No129_八戸市大字市川町字尻引前山9-1（A13125560）.pdf</t>
  </si>
  <si>
    <t>連系承諾通知（契ネ契第2364号）。工事費負担金・工期は同案件の技術検討回答書(id 1riz0ItXhH1BagUR_wsc_NedwbzpVEkEE)参照。deposit_yenは工事費負担金契約書記載の支払済保証金</t>
  </si>
  <si>
    <t>179_北広島町川小田10059-3（広島県）_高圧蓄電所</t>
  </si>
  <si>
    <t>180_三種町森岳字東飛塚58-1（秋田県）_高圧蓄電所</t>
  </si>
  <si>
    <t>連系承諾資料等/【株式会社西日本パワーエナジーさま】発電設備等に関する契約申込みの回答について(承諾)(№23251).pdf</t>
  </si>
  <si>
    <t>【接続検討回答書】No130_和気町藤野1263（G岡山789）.pdf</t>
  </si>
  <si>
    <t>承諾通知本文には工事費負担金の記載なし（技術検討回答書記載額は税込186.1百万円）</t>
  </si>
  <si>
    <t>連系承諾通知（契ネ契第2365号）。工事費負担金・工期は同案件の技術検討回答書(id 14-LRbl6d5XE2FQVqa_iv19oM0sT7vOiJ)参照。deposit_yenは工事費負担金契約書記載の支払済保証金</t>
  </si>
  <si>
    <t>181_三種町森岳字東飛塚62-1（秋田県）_高圧蓄電所</t>
  </si>
  <si>
    <t>【保留】/131_伯耆町大原974-7（鳥取県）_高圧蓄電所</t>
  </si>
  <si>
    <t>【接続検討回答書】No131_伯耆町大原974-7（G鳥取473）.pdf</t>
  </si>
  <si>
    <t>182_恵那市東野1225-7他（岐阜県）_高圧蓄電所</t>
  </si>
  <si>
    <t>連系承諾資料等/【株式会社西日本パワーエナジーさま】発電設備等に関する契約申込みの回答について(承諾)(№23252).pdf</t>
  </si>
  <si>
    <t>承諾通知本文には工事費負担金の記載なし（技術検討回答書記載額は税込182.9百万円）</t>
  </si>
  <si>
    <t>183_岡崎市板田町字東流石26-4（愛知県）_高圧蓄電所</t>
  </si>
  <si>
    <t>【保留】/132_美作市下町21（岡山県）_高圧蓄電所</t>
  </si>
  <si>
    <t>【接続検討回答書】No132_美作市下町21（G岡山883）.pdf</t>
  </si>
  <si>
    <t>連系承諾通知（契ネ契第2366号）。工事費負担金・工期は同案件の技術検討回答書(id 1GYWYB5DfXsmFzEkvUVWAltoOJIdlGKxL)参照。deposit_yenは工事費負担金契約書記載の支払済保証金</t>
  </si>
  <si>
    <t>X2608_男鹿市北浦北浦字泉野15-1（秋田県）_高圧蓄電所</t>
  </si>
  <si>
    <t>連系承諾資料等/【株式会社西日本パワーエナジーさま】発電設備等に関する契約申込みの回答について(承諾)(№23253).pdf</t>
  </si>
  <si>
    <t>005</t>
  </si>
  <si>
    <t>【保留】/133_鏡野町羽出1170-1（岡山県）_高圧蓄電所</t>
  </si>
  <si>
    <t>【接続検討回答書】No133_鏡野町羽出1170-1（G岡山881）.pdf</t>
  </si>
  <si>
    <t>2024-09-06</t>
  </si>
  <si>
    <t>2024-06-07</t>
  </si>
  <si>
    <t>株式会社パワーエックス（PX鏡石BESS1, 受付番号A62324006）</t>
  </si>
  <si>
    <t>福島県鏡石町笠石117-2他</t>
  </si>
  <si>
    <t>X2608_男鹿市北浦北浦字泉野15-4（秋田県）_高圧蓄電所</t>
  </si>
  <si>
    <t>工事費負担金の総額 0.9百万円(消費税等相当額 0.1百万円を含む)、税抜0.8百万円（架空線0.5/計量0.3）。概算工事費の総額 1.1百万円(税込)。別紙「概算工事費及び工事費負担金の総額」より</t>
  </si>
  <si>
    <t>配電設備 6か月程度 ／ 混雑管理システム(ローカル系統) 運開時期は別途HP等でお知らせします。（契約手続き期間は含まず。工事費負担金入金後の期間）</t>
  </si>
  <si>
    <t>希望2025年9月8日(別途協議)。回答日＋配電設備工期6か月の単純計算で2025年3月頃（契約手続き期間は含まず）</t>
  </si>
  <si>
    <t>高圧引込線30m(120mm2)、変圧器タップ切替1箇所、計量器2台・計器用変成器1台(200A)</t>
  </si>
  <si>
    <t>上位系統増強工事なし（対象設備表の上位系統増強工事・バンク逆潮流対策は空欄）</t>
  </si>
  <si>
    <t>ノンファーム型接続適用（基幹系統:別紙1-1グループ[福島4]、ローカル系統:154kV第一、第二福島線(0626)、154kV日和田線(0632)、須賀川変電所154/66kV主要変圧器(604)）、再給電方式（一定の順序）、PCS力率一定制御 96%（有効出力1,998kW程度）、非認証PCSの実機試験成績書提出、出力制御設定の確認書類提出、N-1電制本格適用、運用上の制約あり（作業停止時等の発電抑制・停止）、前提条件: 力率一定制御96%</t>
  </si>
  <si>
    <t>X2609_富士宮市山宮218-1他（静岡県）_高圧蓄電所</t>
  </si>
  <si>
    <t>【保留】/134_川崎町大字川内字藤折60-1他（宮城県）_高圧蓄電所</t>
  </si>
  <si>
    <t>【接続検討回答書】No134_川崎町大字川内字藤折60-1他（A41325555）.pdf</t>
  </si>
  <si>
    <t>状態: 保留（【保留】フォルダ内）。検討対象年度2023~2024年度。</t>
  </si>
  <si>
    <t>X2609_男鹿市船越字杉山30-1（秋田県）_高圧蓄電所</t>
  </si>
  <si>
    <t>【保留】/136_浜田市下府町994-2（島根県）_高圧蓄電所</t>
  </si>
  <si>
    <t>【接続検討回答書】No005_鏡石町笠石117-2他（A62324006）.pdf</t>
  </si>
  <si>
    <t>【接続検討回答書】No136_浜田市下府町994-2（G松江622）.pdf</t>
  </si>
  <si>
    <t>03_電力/02_接続検討/04_回答/【接続検討回答書】No005_鏡石町笠石117-2他（A62324006）.pdf</t>
  </si>
  <si>
    <t>2025-09-02</t>
  </si>
  <si>
    <t>株式会社パワーエックス（PX鏡石BESS1, 受付番号A62325462）</t>
  </si>
  <si>
    <t>状態: 保留。 回答一覧No46,47</t>
  </si>
  <si>
    <t>工事費負担金の総額 4,577.1百万円(消費税等相当額 416.1百万円を含む)、税抜4,161.0百万円（架空線13.5/計量0.3/一般負担の上限超過分4,147.2）。概算工事費の総額 4,681.7百万円(税込)。別紙「概算工事費及び工事費負担金の総額」より</t>
  </si>
  <si>
    <t>配電設備工事 8か月程度 ／ 上位系統増強工事 (先行する系統利用者の為の増強工事を含む) 10年2か月 ／ 混雑管理システム(ローカル系統) 運開時期は別途HP等でお知らせします。（契約手続き期間は含まず。工事費負担金入金後の期間）</t>
  </si>
  <si>
    <t>希望2025年9月8日。回答日＋配電設備工期8か月の単純計算で2026年8月頃（契約手続き期間は含まず）→希望日に間に合わず。上位系統増強工事 (先行する系統利用者の為の増強工事を含む) 10年2か月は別途</t>
  </si>
  <si>
    <t>高圧引込線30m(AL-ACSR-L120mm2)、柱上変圧器タップ変更13箇所、電圧調整器1台(逆潮流対応II型SVR 5,000kVA)、計量器2台・計器用変成器1台(200A)、上位系統増強工事1式（須賀川(変)MT2台）</t>
  </si>
  <si>
    <t>あり: 須賀川(変)275/154kV主要変圧器取替(2台)が貴社連系のため必要。先行利用者の連系に伴い須賀川(変)・東福島(変)275/154kV主要変圧器増設(各1台)ほかを予定（当社工事・当社負担）。上位系統増強工事10年2か月（先行利用者向け増強を含む）。一般負担の上限超過分4,147.2百万円</t>
  </si>
  <si>
    <t>ノンファーム型接続適用（基幹系統:別紙1-1グループ[福島4]、ローカル系統:154kV第一、第二福島線(0626)、154kV日和田線(0632)、須賀川変電所154/66kV主要変圧器(604)）、再給電方式（一定の順序）、PCS力率一定制御 97%、非認証PCSの実機試験成績書提出、出力制御設定の確認書類提出、早期連系追加対策(充電制限)は適用不可、N-1電制本格適用、運用上の制約あり（作業停止時等の発電抑制・停止）、前提条件: 先行する他発電設備が連系すること</t>
  </si>
  <si>
    <t>【保留】/029_富谷市穀田瀬戸ノ沢65-1（宮城県）_高圧蓄電所</t>
  </si>
  <si>
    <t>状態: 保留（【保留】フォルダ内）。検討対象年度2024~2025年度。負担金は上位系統増強に係る一般負担の上限超過分を含むため極めて高額。格納フォルダは「12_回答（2回目）」。ファイル名は「接続検討回答書」だが2回目の回答のため種別は再接続検討とした。初回回答(A62324006, 2024-09-06)あり。運用開始希望日(2025年9月8日)は回答日より前の日付のまま。</t>
  </si>
  <si>
    <t>【保留】/137_松江市宍道町宍道1007-1（島根県）_高圧蓄電所</t>
  </si>
  <si>
    <t>【接続検討回答書】No137_松江市宍道町宍道1007-1（G松江690）.pdf</t>
  </si>
  <si>
    <t>状態: 保留。 回答一覧No51</t>
  </si>
  <si>
    <t>【保留】/138_飯南町下来島831他（島根県）_高圧蓄電所</t>
  </si>
  <si>
    <t>03_電力/02_接続検討/12_回答（2回目）/【接続検討回答書】No005_鏡石町笠石117-2他（A62325462）.pdf</t>
  </si>
  <si>
    <t>【接続検討回答書】No138_飯南町下来島831他（G松江623）.pdf</t>
  </si>
  <si>
    <t>006</t>
  </si>
  <si>
    <t>2024-07-16</t>
  </si>
  <si>
    <t>2024-04-16</t>
  </si>
  <si>
    <t>株式会社パワーエックス（PX須賀川BESS1, 受付番号A62324001）</t>
  </si>
  <si>
    <t>福島県須賀川市江持字喜太夫70</t>
  </si>
  <si>
    <t>状態: 保留。 回答一覧No53</t>
  </si>
  <si>
    <t>工事費負担金の総額 26.6百万円(消費税等相当額 2.4百万円を含む)、税抜24.2百万円（架空線17.5/地中線6.4/計量0.3）。概算工事費の総額 26.8百万円(税込)。別紙「概算工事費及び工事費負担金の総額」より</t>
  </si>
  <si>
    <t>配電設備 24か月程度 ／ 混雑管理システム(ローカル系統) 運開時期は別途HP等でお知らせします。（契約手続き期間は含まず。工事費負担金入金後の期間）</t>
  </si>
  <si>
    <t>希望2025年8月10日(別途協議)。回答日＋配電設備工期24か月の単純計算で2026年7月頃（契約手続き期間は含まず）→希望日に間に合わず</t>
  </si>
  <si>
    <t>電柱2本(14m)、高圧線1,956m／57m(120mm2・200mm2)、高圧引込線30m、開閉器2台(FTAS表示器)、電圧調整器1台(5000kVA)、高圧ケーブル280m(250mm2)、計量器2台・計器用変成器1台(200A)。電圧調整器取替、電柱建替、高圧線新設・張替、開閉器改造</t>
  </si>
  <si>
    <t>ノンファーム型接続適用（基幹系統:別紙1-1グループ[福島4]、ローカル系統:154kV第一、第二福島線(0626)、154kV日和田線(0632)、須賀川変電所154/66kV主要変圧器(604)）、再給電方式（一定の順序）、PCS力率一定制御 87%（有効出力1998kW程度）、非認証PCSの実機試験成績書提出、出力制御設定の確認書類提出、N-1電制本格適用、運用上の制約あり（作業停止時等の発電抑制・停止）、前提条件: 力率一定制御87%</t>
  </si>
  <si>
    <t>状態: 進行中（対象フォルダ直下）。検討対象年度2022~2023年度。</t>
  </si>
  <si>
    <t>状態: 保留。 回答一覧No56,57</t>
  </si>
  <si>
    <t>【接続検討回答書】No140_大田市大田町大田ｲ1609-1（G松江656）.pdf</t>
  </si>
  <si>
    <t>状態: 保留。 回答一覧No58</t>
  </si>
  <si>
    <t>03_電力/02_接続検討/04_回答/【接続検討回答書】No006_須賀川市江持字喜太夫70（A62324001）.pdf</t>
  </si>
  <si>
    <t>008</t>
  </si>
  <si>
    <t>【保留】/141_大田市大田町野城ﾛ84-7他（島根県）_高圧蓄電所</t>
  </si>
  <si>
    <t>株式会社パワーエックス（PX三春BESS1, 受付番号A62124013）</t>
  </si>
  <si>
    <t>【接続検討回答書】No141_大田市大田町野城ﾛ84-7他（G松江659）.pdf</t>
  </si>
  <si>
    <t>福島県三春町字樋ノ口144-1</t>
  </si>
  <si>
    <t>工事費負担金の総額 5.1百万円(消費税等相当額 0.5百万円を含む)、税抜4.6百万円（架空線4.3/計量0.3）。概算工事費の総額 5.3百万円(税込)。別紙「概算工事費及び工事費負担金の総額」より</t>
  </si>
  <si>
    <t>状態: 保留。 回答一覧No59</t>
  </si>
  <si>
    <t>電柱1本(14m)、高圧線60m(120mm2)、高圧引込線30m、柱上変圧器タップ切替32箇所、計量器2台・計器用変成器1台(200A)。電柱建替、高圧線張替</t>
  </si>
  <si>
    <t>ノンファーム型接続適用（基幹系統:別紙1-1グループ[福島4]、ローカル系統:154kV第一、第二福島線(0626)、154kV日和田線(0632)）、再給電方式（一定の順序）、PCS力率一定制御 91%（有効出力1,998kW程度）、非認証PCSの実機試験成績書提出、出力制御設定の確認書類提出、N-1電制本格適用、運用上の制約あり（作業停止時等の発電抑制・停止）、前提条件: 力率一定制御91%</t>
  </si>
  <si>
    <t>状態: 進行中（対象フォルダ直下）。検討対象年度2023~2024年度。</t>
  </si>
  <si>
    <t>【保留】/143_吉賀町九郎原534（島根県）_高圧蓄電所</t>
  </si>
  <si>
    <t>状態: 保留。 回答一覧No60</t>
  </si>
  <si>
    <t>【接続検討回答書】No143_吉賀町九郎原534（G松江660）.pdf</t>
  </si>
  <si>
    <t>【接続検討回答書】No008_三春町字樋ノ口144-1（A62124013）.pdf</t>
  </si>
  <si>
    <t>03_電力/02_接続検討/04_回答/【接続検討回答書】No008_三春町字樋ノ口144-1（A62124013）.pdf</t>
  </si>
  <si>
    <t>022</t>
  </si>
  <si>
    <t>【中止】/022_三春町字樋ノ口157-1他（福島県）_高圧蓄電所</t>
  </si>
  <si>
    <t>状態: 保留。 回答一覧No61</t>
  </si>
  <si>
    <t>2024-09-24</t>
  </si>
  <si>
    <t>2024-06-24</t>
  </si>
  <si>
    <t>株式会社パワーエックス（PX三春BESS2, 受付番号A62124018）</t>
  </si>
  <si>
    <t>福島県三春町字樋ノ口157-1他</t>
  </si>
  <si>
    <t>【保留】/144_長門市油谷新別名983-1（山口県）_高圧蓄電所</t>
  </si>
  <si>
    <t>【接続検討回答書】No144_長門市油谷新別名983-1（G山口863）.pdf</t>
  </si>
  <si>
    <t>工事費負担金の総額 4.4百万円(消費税等相当額 0.4百万円を含む)、税抜4.0百万円（架空線3.7/計量0.3）。概算工事費の総額 4.6百万円(税込)。別紙「概算工事費及び工事費負担金の総額」より</t>
  </si>
  <si>
    <t>連系不可 / 負担金が10億円以上（上位系統増強・一般負担上限超過分を含む。原本で金額確認）</t>
  </si>
  <si>
    <t>配電設備 5か月程度 ／ 混雑管理システム(ローカル系統) 運開時期は別途HP等でお知らせします。（契約手続き期間は含まず。工事費負担金入金後の期間）</t>
  </si>
  <si>
    <t>希望2025年10月6日(別途協議)。回答日＋配電設備工期5か月の単純計算で2025年2月頃（契約手続き期間は含まず）</t>
  </si>
  <si>
    <t>高圧引込線30m(120mm2)、変圧器タップ切替32箇所、計量器2台・計器用変成器1台(200A)</t>
  </si>
  <si>
    <t>ノンファーム型接続適用（基幹系統:別紙1-1グループ[福島4]、ローカル系統:154kV第一、第二福島線(0626)154kV日和田線(0632)）、再給電方式（一定の順序）、PCS力率一定制御 91%（有効出力1998kW程度）、非認証PCSの実機試験成績書提出、出力制御設定の確認書類提出、N-1電制本格適用、運用上の制約あり（作業停止時等の発電抑制・停止）、前提条件: 力率一定制御91%</t>
  </si>
  <si>
    <t>状態: 中止（【中止】フォルダ内）。検討対象年度2023~2024年度。</t>
  </si>
  <si>
    <t>状態: 保留。 回答一覧No62,63,64</t>
  </si>
  <si>
    <t>【保留】/146_田布施町大字宿井368-1（山口県）_高圧蓄電所</t>
  </si>
  <si>
    <t>【接続検討回答書】No146_田布施町大字宿井368-1（G周南415）.pdf</t>
  </si>
  <si>
    <t>【接続検討回答書】No022_三春町字樋ノ口157-1他（A62124018）.pdf</t>
  </si>
  <si>
    <t>03_電力/02_接続検討/04_回答/【接続検討回答書】No022_三春町字樋ノ口157-1他（A62124018）.pdf</t>
  </si>
  <si>
    <t>029</t>
  </si>
  <si>
    <t>状態: 保留。 回答一覧No65,66</t>
  </si>
  <si>
    <t>2024-10-16</t>
  </si>
  <si>
    <t>株式会社パワーエックス（PX富谷BESS1, 受付番号A41524018）</t>
  </si>
  <si>
    <t>宮城県富谷市穀田瀬戸ノ沢65-1</t>
  </si>
  <si>
    <t>穀田枝線41北1号より架空線連系</t>
  </si>
  <si>
    <t>工事費負担金の総額 141.4百万円(消費税等相当額 12.9百万円を含む)、税抜128.5百万円（架空線21.8/地中線106.4/計量0.3）。概算工事費の総額 141.6百万円(税込)。別紙「概算工事費及び工事費負担金の総額」より</t>
  </si>
  <si>
    <t>配電設備工事 12か月程度 ／ 混雑管理システム(ローカル系統) 運開時期は別途HP等でお知らせします。（契約手続き期間は含まず。工事費負担金入金後の期間）</t>
  </si>
  <si>
    <t>希望2025年11月10日。回答日＋配電設備工期12か月の単純計算で2025年10月頃（契約手続き期間は含まず）</t>
  </si>
  <si>
    <t>電柱21本(16m・14m)、高圧線366m(AL-ACSR-L120mm2)、高圧引込線20m、B種接地抵抗改修11箇所、管路520m(125Φ)、ハンドホール2箇所、高圧ケーブル548m(CVT100mm2)、計量器2台・計器用変成器1台(200A)。高圧延長工事、既設配電線の他系統ルート変更工事</t>
  </si>
  <si>
    <t>ノンファーム型接続適用（基幹系統:別紙1-1グループ[宮城2]、ローカル系統:なし）、再給電方式（一定の順序）、PCS力率一定制御 88%（有効出力1,998kW程度）、非認証PCSの実機試験成績書提出、出力制御設定の確認書類提出、書類不備による未検討項目あり（系統連系申込時に技術検討）、N-1電制本格適用、運用上の制約あり（作業停止時等の発電抑制・停止）</t>
  </si>
  <si>
    <t>【接続検討回答書】No147_福山市引野町4968他（G福山433）.pdf</t>
  </si>
  <si>
    <t>状態: 保留。 回答一覧No67</t>
  </si>
  <si>
    <t>状態: 保留。 回答一覧No68</t>
  </si>
  <si>
    <t>【接続検討回答書】No029_富谷市穀田瀬戸ノ沢65-1（A41524018）.pdf</t>
  </si>
  <si>
    <t>03_電力/02_接続検討/04_回答/【接続検討回答書】No029_富谷市穀田瀬戸ノ沢65-1（A41524018）.pdf</t>
  </si>
  <si>
    <t>【保留】/150_東広島市黒瀬町津江21818他（広島県）_高圧蓄電所</t>
  </si>
  <si>
    <t>032</t>
  </si>
  <si>
    <t>【接続検討回答書】No150_東広島市黒瀬町津江21818他（G東広島720）.pdf</t>
  </si>
  <si>
    <t>株式会社パワーエックス（PX川崎BESS1, 受付番号A41324011）</t>
  </si>
  <si>
    <t>宮城県川崎町大字川内字七曲山77</t>
  </si>
  <si>
    <t>川内線（延長。本文(c)より）</t>
  </si>
  <si>
    <t>工事費負担金の総額 7.3百万円(消費税等相当額 0.7百万円を含む)、税抜6.6百万円（架空線6.3/計量0.3）。概算工事費の総額 7.5百万円(税込)。別紙「概算工事費及び工事費負担金の総額」より</t>
  </si>
  <si>
    <t>状態: 保留。 回答一覧No69</t>
  </si>
  <si>
    <t>希望2025年10月6日。回答日＋配電設備工期6か月の単純計算で2025年3月頃（契約手続き期間は含まず）</t>
  </si>
  <si>
    <t>電柱2本(12m)、高圧線80m／530m(Al-ACSR-L120mm2)、高圧引込線20m、計量器2台・計器用変成器1台(200A)。最寄り系統は許容電流超過で連系不可のため川内線を延長（高圧線新設・電柱新設）、既設高圧線の張替</t>
  </si>
  <si>
    <t>ノンファーム型接続適用（基幹系統:別紙1-1グループ[宮城2]、ローカル系統:66kV遠刈田線(425J)、仙南変電所154/66kV主要変圧器(411)）、再給電方式（一定の順序）、PCS力率一定制御 遅れ90%（有効出力1998kW程度）、非認証PCSの実機試験成績書提出、出力制御設定の確認書類提出、N-1電制本格適用、運用上の制約あり（作業停止時等の発電抑制・停止）、前提条件: 順潮流側検討時、力率98% 先行する発電設備が連系すること</t>
  </si>
  <si>
    <t>状態: 進行中（対象フォルダ直下）。検討対象年度2023、2024年度。</t>
  </si>
  <si>
    <t>【保留】/151_北広島町本地1877-1他（広島県）_高圧蓄電所</t>
  </si>
  <si>
    <t>【接続検討回答書】No151_北広島町本地1877-1他（G広島285） .pdf</t>
  </si>
  <si>
    <t>状態: 保留。 回答一覧No70</t>
  </si>
  <si>
    <t>【接続検討回答書】No032_川崎町大字川内字七曲山77（A41324011）.pdf</t>
  </si>
  <si>
    <t>03_電力/02_接続検討/04_回答/【接続検討回答書】No032_川崎町大字川内字七曲山77（A41324011）.pdf</t>
  </si>
  <si>
    <t>038</t>
  </si>
  <si>
    <t>2024-10-31</t>
  </si>
  <si>
    <t>2024-08-01</t>
  </si>
  <si>
    <t>株式会社パワーエックス（PX南相馬BESS1, 受付番号A61224054）</t>
  </si>
  <si>
    <t>福島県南相馬市小高区飯崎字南原23-1</t>
  </si>
  <si>
    <t>小高変電所（工事概要図より）</t>
  </si>
  <si>
    <t>状態: 保留。 回答一覧No71</t>
  </si>
  <si>
    <t>F:行津線／泉沢線・金房線（工事概要図より）</t>
  </si>
  <si>
    <t>【接続検討回答書】No158_大崎上島町中野3462-1他（G東広島793）.pdf</t>
  </si>
  <si>
    <t>工事費負担金の総額 171.9百万円(消費税等相当額 15.6百万円を含む)、税抜156.3百万円（架空線90.1/地中線65.9/計量0.3）。概算工事費の総額 172.2百万円(税込)。別紙「概算工事費及び工事費負担金の総額」より</t>
  </si>
  <si>
    <t>配電設備工事 40か月程度 ／ 混雑管理システム(ローカル系統) 運開時期は別途HP等でお知らせします。（契約手続き期間は含まず。工事費負担金入金後の期間）</t>
  </si>
  <si>
    <t>希望2025年11月10日。回答日＋配電設備工期40か月の単純計算で2028年2月頃（契約手続き期間は含まず）→希望日に間に合わず</t>
  </si>
  <si>
    <t>電柱新設15本(14m)・建替87本(16m×77本、14m×10本)、高圧線新設4,990m(Al-ACSR120mm2)、高圧引込線20m、電圧調整器新設1台(逆潮流対応II型3000kVA)、管路300m(3条以下)、マンホール2箇所、高圧ケーブル300m(CVT150mm2)、計量器2台・計器用変成器1台(200A)</t>
  </si>
  <si>
    <t>ノンファーム型接続適用（基幹系統:別紙1-1グループ[福島1]、ローカル系統:66kV南相線(651A)）、再給電方式（一定の順序）、PCS力率一定制御 88%（有効出力1,998kW）、非認証PCSの実機試験成績書提出、出力制御設定の確認書類提出、N-1電制本格適用、運用上の制約あり（作業停止時等の発電抑制・停止）</t>
  </si>
  <si>
    <t>状態: 保留（【保留】フォルダ内）。検討対象年度2023、2024年度。</t>
  </si>
  <si>
    <t>状態: 保留。 回答一覧No72</t>
  </si>
  <si>
    <t>【保留】/166_小山町上野277-2（静岡県）_高圧蓄電所</t>
  </si>
  <si>
    <t>概算工期回答書_JK26GHZ057572.pdf</t>
  </si>
  <si>
    <t>状態: 保留。 回答一覧No73</t>
  </si>
  <si>
    <t>03_電力/02_接続検討/04_回答/【接続検討回答書】No038_南相馬市小高区飯崎字南原23-1（A61224054）.pdf</t>
  </si>
  <si>
    <t>040</t>
  </si>
  <si>
    <t>2025-02-10</t>
  </si>
  <si>
    <t>2024-11-11</t>
  </si>
  <si>
    <t>株式会社パワーエックス（PX新地BESS1, 受付番号A61224162）</t>
  </si>
  <si>
    <t>福島県新地町駒ケ嶺字桜下51-1</t>
  </si>
  <si>
    <t>駒ケ嶺変電所（工事概要図より）</t>
  </si>
  <si>
    <t>F:大菅線／菅谷線（工事概要図より）</t>
  </si>
  <si>
    <t>工事費負担金の総額 16.3百万円(消費税等相当額 1.5百万円を含む)、税抜14.8百万円（架空線14.5/計量0.3）。概算工事費の総額 16.5百万円(税込)。別紙「概算工事費及び工事費負担金の総額」より</t>
  </si>
  <si>
    <t>状態: 保留。 回答一覧No78</t>
  </si>
  <si>
    <t>配電設備工事 15か月程度 ／ 混雑管理システム(ローカル系統) 運開時期は別途HP等でお知らせします。（契約手続き期間は含まず。工事費負担金入金後の期間）</t>
  </si>
  <si>
    <t>希望2026年3月9日。回答日＋配電設備工期15か月の単純計算で2026年5月頃（契約手続き期間は含まず）→希望日に間に合わず</t>
  </si>
  <si>
    <t>高圧線張替2,099m（OC60mm2⇒Al-ACSR200mm2 916m＋1,183m）、高圧引込線15m、開閉器取替1台(400A)、柱上変圧器タップ切替10台、計量器2台・計器用変成器1台(200A)、電力用保安通信設備</t>
  </si>
  <si>
    <t>ノンファーム型接続適用（基幹系統:別紙1-1グループ[福島2]、ローカル系統:154kV新駒線(0624)、駒ヶ嶺変電所154/66kV主要変圧器(612)）、再給電方式（一定の順序）、PCS力率一定制御 85%（有効出力1,998kW）、非認証PCSの実機試験成績書提出、出力制御設定の確認書類提出、PCSと出力制御ユニットの組合せ審査（系統連系申込後）、N-1電制本格適用、運用上の制約あり（作業停止時等の発電抑制・停止）</t>
  </si>
  <si>
    <t>状態: 進行中（対象フォルダ直下）。検討対象年度2023、2024年度。高圧線の線種は対象設備表「AL-ACSR120mm2」、工事概要図「Al-ACSR200mm2」と記載が異なる。</t>
  </si>
  <si>
    <t>状態: 保留。 回答一覧No79</t>
  </si>
  <si>
    <t>03_電力/02_接続検討/04_回答/【接続検討回答書】No040_新地町駒ケ嶺字桜下51-1（A61224162）.pdf</t>
  </si>
  <si>
    <t>状態: 保留。 回答一覧No80</t>
  </si>
  <si>
    <t>2025-09-12</t>
  </si>
  <si>
    <t>2025-06-12</t>
  </si>
  <si>
    <t>株式会社パワーエックス（PX新地BESS1, 受付番号A61225471）</t>
  </si>
  <si>
    <t>駒ケ嶺変電所（初回回答A61224162の工事概要図より）</t>
  </si>
  <si>
    <t>工事費負担金の総額 32.1百万円(消費税等相当額 2.9百万円を含む)、税抜29.2百万円（架空線28.9/計量0.3）。概算工事費の総額 89.5百万円(税込)。別紙「概算工事費及び工事費負担金の総額」より</t>
  </si>
  <si>
    <t>配電設備工事 1年5か月程度 ／ 上位系統増強工事 2年5か月程度 ／ 混雑管理システム(ローカル系統) 運開時期は別途HP等でお知らせします。（契約手続き期間は含まず。工事費負担金入金後の期間）</t>
  </si>
  <si>
    <t>希望2026年3月9日。回答日＋配電設備工期17か月の単純計算で2027年2月頃（契約手続き期間は含まず）→希望日に間に合わず。上位系統増強工事 2年5か月程度は別途</t>
  </si>
  <si>
    <t>状態: 保留。 回答一覧No81</t>
  </si>
  <si>
    <t>電柱5本、高圧線1,245m(AL-ACSR-L120mm2)、高圧引込線15m、開閉器1台(逆潮流対応型事故区間表示器)、電圧調整器2台(逆潮流対応II型SVR 3000kVA・5000kVA)、計量器2台・計器用変成器1台(200A)、上位系統増強工事1式。電圧調整器新設、許容電流超過の高圧線張替・電柱建替、逆潮流対応型機器への取替</t>
  </si>
  <si>
    <t>あり: 154kV新駒線2号増強工事（先行他社申込みにより計画。充電側連系で増強容量の一部を使用するため、連系時期によっては費用一部負担）。上位系統増強工事2年5か月程度</t>
  </si>
  <si>
    <t>ノンファーム型接続適用（基幹系統:別紙1-1グループ[福島2]、ローカル系統:154kV新駒線(0624)、駒ヶ嶺変電所154/66kV主要変圧器(612)）、再給電方式（一定の順序）、PCS力率一定制御 93%（有効出力1,930kW程度）、非認証PCSの実機試験成績書提出、出力制御設定の確認書類提出、書類不備による未検討項目あり（系統連系申込時に技術検討）、早期連系追加対策(充電制限)は適用不可、N-1電制本格適用、運用上の制約あり（作業停止時等の発電抑制・停止）</t>
  </si>
  <si>
    <t>状態: 進行中（対象フォルダ直下）。検討対象年度2024~2025年度。初回回答(A61224162, 2025-02-10)からの再接続検討。</t>
  </si>
  <si>
    <t>状態: 保留。 回答一覧No84,85</t>
  </si>
  <si>
    <t>03_電力/02_接続検討/12_回答（2回目）/【再接続検討回答書】No040_新地町駒ケ嶺字桜下51-1（A61225471）.pdf</t>
  </si>
  <si>
    <t>044</t>
  </si>
  <si>
    <t>2024-12-27</t>
  </si>
  <si>
    <t>2024-10-02</t>
  </si>
  <si>
    <t>株式会社パワーエックス（PX白河BESS1, 受付番号A62224073）</t>
  </si>
  <si>
    <t>福島県白河市合戦坂88-2他</t>
  </si>
  <si>
    <t>状態: 保留。 回答一覧No86</t>
  </si>
  <si>
    <t>工事費負担金の総額 1.5百万円(消費税等相当額 0.1百万円を含む)、税抜1.4百万円（架空線1.1/計量0.3）。概算工事費の総額 1.8百万円(税込)。別紙「概算工事費及び工事費負担金の総額」より</t>
  </si>
  <si>
    <t>配電設備工事 4か月程度 ／ 混雑管理システム(ローカル系統) 運開時期は別途HP等でお知らせします。（契約手続き期間は含まず。工事費負担金入金後の期間）</t>
  </si>
  <si>
    <t>希望2026年1月12日。回答日＋配電設備工期4か月の単純計算で2025年4月頃（契約手続き期間は含まず）</t>
  </si>
  <si>
    <t>高圧引込線8m(AL-ACSR120mm2)、柱上変圧器タップ切替9台、計量器2台・計器用変成器1台(200A)。高圧引込線以下計器一式新設、既設バンクのタップ切替</t>
  </si>
  <si>
    <t>ノンファーム型接続適用（基幹系統:別紙1-1グループ[福島4]、ローカル系統:154kV第一、第二福島線(0626)154kV日和田線(0632)西白河変電所154/66kV主要変圧器(613)）、再給電方式（一定の順序）、PCS力率一定制御 91%（有効出力1,998kW）、非認証PCSの実機試験成績書提出、出力制御設定の確認書類提出、PCSと出力制御ユニットの組合せ審査（系統連系申込後）、N-1電制本格適用、運用上の制約あり（作業停止時等の発電抑制・停止）</t>
  </si>
  <si>
    <t>状態: 保留。 回答一覧No87</t>
  </si>
  <si>
    <t>【接続検討回答書】No044_白河市合戦坂88-2他（A62224073）.pdf</t>
  </si>
  <si>
    <t>03_電力/02_接続検討/04_回答/【接続検討回答書】No044_白河市合戦坂88-2他（A62224073）.pdf</t>
  </si>
  <si>
    <t>状態: 保留。[OLD]に差替前の回答書1件あり（行にしていない） 回答一覧No89</t>
  </si>
  <si>
    <t>2025-06-03</t>
  </si>
  <si>
    <t>株式会社パワーエックス（PX白河BESS1, 受付番号A62225452）</t>
  </si>
  <si>
    <t>工事費負担金の総額 4,563.0百万円(消費税等相当額 414.8百万円を含む)、税抜4,148.2百万円（架空線0.7/計量0.3/一般負担の上限超過分4,147.2）。概算工事費の総額 4,667.6百万円(税込)。別紙「概算工事費及び工事費負担金の総額」より</t>
  </si>
  <si>
    <t>配電設備工事 4か月程度 ／ 混雑管理システム(ローカル系統) 運開時期は別途HP等でお知らせします。 ／ 上位系統増強工事 10年2ヵ月 (先行する系統利用者の為の増強工事を含む)（契約手続き期間は含まず。工事費負担金入金後の期間）</t>
  </si>
  <si>
    <t>希望2026年1月12日。回答日＋配電設備工期4か月の単純計算で2026年1月頃（契約手続き期間は含まず）。上位系統増強工事 10年2ヵ月 (先行する系統利用者の為の増強工事を含む)は別途</t>
  </si>
  <si>
    <t>高圧引込線8m(AL-ACSR-L120mm2)、柱上変圧器タップ変更5箇所、計量器2台・計器用変成器1台(200A)、上位系統増強工事1式（須賀川(変)MT2台）</t>
  </si>
  <si>
    <t>あり: 須賀川(変)275/154kV主要変圧器取替(2台)が貴社連系のため必要。先行利用者の連系に伴い須賀川(変)・東福島(変)275/154kV主要変圧器増設(各1台)、西白河(変)154/66kV主要変圧器増設(1台)ほかを予定（当社工事・当社負担）。上位系統増強工事10年2ヵ月（先行利用者向け増強を含む）。一般負担の上限超過分4,147.2百万円</t>
  </si>
  <si>
    <t>ノンファーム型接続適用（基幹系統:別紙1-1グループ[福島4]、ローカル系統:154kV第一、第二福島線(0626)、154kV日和田線(0632)、西白河変電所154/66kV主要変圧器(613)）、再給電方式（一定の順序）、PCS力率一定制御 91%（有効出力1,998kW程度）、非認証PCSの実機試験成績書提出、出力制御設定の確認書類提出、N-1電制本格適用、運用上の制約あり（作業停止時等の発電抑制・停止）</t>
  </si>
  <si>
    <t>状態: 保留（【保留】フォルダ内）。検討対象年度2024~2025年度。負担金は上位系統増強に係る一般負担の上限超過分を含むため極めて高額。初回回答(A62224073, 2024-12-27)からの再接続検討。</t>
  </si>
  <si>
    <t>状態: 保留。 回答一覧No90,91</t>
  </si>
  <si>
    <t>状態: 保留。 回答一覧No92</t>
  </si>
  <si>
    <t>03_電力/02_接続検討/12_回答（2回目）/【再接続検討回答書】No044_白河市合戦坂88-2他（A62225452）.pdf</t>
  </si>
  <si>
    <t>045</t>
  </si>
  <si>
    <t>2025-01-10</t>
  </si>
  <si>
    <t>2024-10-11</t>
  </si>
  <si>
    <t>株式会社パワーエックス（PX大衡BESS1, 受付番号A41524056）</t>
  </si>
  <si>
    <t>宮城県大衡村大衡字萱刈場102-2</t>
  </si>
  <si>
    <t>大衡幹線160東1南6号より架空線連系</t>
  </si>
  <si>
    <t>工事費負担金の総額 102.7百万円(消費税等相当額 9.3百万円を含む)、税抜93.4百万円（架空線93.1/計量0.3）。概算工事費の総額 103.0百万円(税込)。別紙「概算工事費及び工事費負担金の総額」より</t>
  </si>
  <si>
    <t>状態: 保留。1回目・2回目とも受付番号AAD241604839。03_系統連系/02_作成/添付書類に1回目の写しあり（行にしていない） 回答一覧No93,94</t>
  </si>
  <si>
    <t>配電設備工事 36か月程度 ／ 混雑管理システム(ローカル系統) 運開時期は別途HP等でお知らせします。（契約手続き期間は含まず。工事費負担金入金後の期間）</t>
  </si>
  <si>
    <t>希望2026年2月9日。回答日＋配電設備工期36か月の単純計算で2028年1月頃（契約手続き期間は含まず）→希望日に間に合わず</t>
  </si>
  <si>
    <t>電柱7本／6本(16m・14m)、高圧線240m／6,674m(AL-OC-L200mm2)、高圧引込線20m、開閉器1台(400A)、変圧器3箇所(電圧調整工事)、電圧調整器1台／2台(TVR3,000kVA・SVRII型5,000kVA)、計量器2台・計器用変成器1台(200A)。高圧線延長、許容電流超過の高圧線・配電線機器の取替、電圧調整器新設</t>
  </si>
  <si>
    <t>ノンファーム型接続適用（基幹系統:別紙1-1グループ[宮城1]、ローカル系統:大崎変電所154/66kV主要変圧器(406)）、再給電方式（一定の順序）、PCS力率一定制御 98%（有効出力1,998kW程度）、非認証PCSの実機試験成績書提出、出力制御設定の確認書類提出、書類不備による未検討項目あり（系統連系申込時に技術検討）、N-1電制本格適用、運用上の制約あり（作業停止時等の発電抑制・停止）</t>
  </si>
  <si>
    <t>状態: 保留。 回答一覧No95</t>
  </si>
  <si>
    <t>03_電力/02_接続検討/04_回答/【接続検討回答書】No045_大衡村大衡字萱刈場102-2（A41524056）.pdf</t>
  </si>
  <si>
    <t>046</t>
  </si>
  <si>
    <t>株式会社パワーエックス（PX加美BESS1, 受付番号A43124096）</t>
  </si>
  <si>
    <t>宮城県加美町菜切谷字青木原28-146</t>
  </si>
  <si>
    <t>広原幹線23北39号より架空線連系</t>
  </si>
  <si>
    <t>状態: 保留。[OLD]に差替前の回答書1件あり（行にしていない） 回答一覧No96</t>
  </si>
  <si>
    <t>工事費負担金の総額 93.2百万円(消費税等相当額 8.5百万円を含む)、税抜84.7百万円（架空線29.1/地中線43.3/変電設備12.0/計量0.3）。概算工事費の総額 1,968.7百万円(税込)。別紙「概算工事費及び工事費負担金の総額」より</t>
  </si>
  <si>
    <t>配電設備工事 33か月程度 ／ 上位系統増強工事 2026年6月頃完了見込み ／ 混雑管理システム(ローカル系統) 運開時期は別途HP等でお知らせします。（契約手続き期間は含まず。工事費負担金入金後の期間）</t>
  </si>
  <si>
    <t>希望2026年2月9日。回答日＋配電設備工期33か月の単純計算で2027年10月頃（契約手続き期間は含まず）→希望日に間に合わず</t>
  </si>
  <si>
    <t>電柱9本／8本(16m・14m)、高圧線2,186m(AL-ACSR-L120mm2)、高圧引込線30m、電圧調整器1台(SVRII型3,000kVA)、管路165m(Φ100)、マンホール2箇所、高圧ケーブル233m(CVT100mm2)、計量器2台・計器用変成器1台(200A)、上位系統増強工事1式（宮城(変)主要変圧器）。高圧線延長、電圧調整器新設、離隔確保困難箇所は地中線路</t>
  </si>
  <si>
    <t>あり: 宮城(変)154/66kV主要変圧器容変工事(2台)・宮城(変)短絡容量超過対策工事（先行他社申込みにより実施中。増強容量の一部を使用するため連系時期によっては費用一部負担。変電設備工事の負担金概算12.0百万円）。上位系統増強工事は2026年6月頃完了見込み</t>
  </si>
  <si>
    <t>ノンファーム型接続適用（基幹系統:別紙1-1グループ[宮城1]、ローカル系統:宮城変電所154/66kV主要変圧器(401)）、再給電方式（一定の順序）、PCS力率一定制御 90%（有効出力1,998kW程度）、非認証PCSの実機試験成績書提出、出力制御設定の確認書類提出、書類不備による未検討項目あり（系統連系申込時に技術検討）、N-1電制本格適用、運用上の制約あり（作業停止時等の発電抑制・停止）</t>
  </si>
  <si>
    <t>状態: 保留。 回答一覧No97</t>
  </si>
  <si>
    <t>03_電力/02_接続検討/04_回答/【接続検討回答書】No046_加美町菜切谷字青木原28-146（A43124096）.pdf</t>
  </si>
  <si>
    <t>状態: 保留。 回答一覧No98</t>
  </si>
  <si>
    <t>047</t>
  </si>
  <si>
    <t>株式会社パワーエックス（PX石巻BESS1, 受付番号A42124040）</t>
  </si>
  <si>
    <t>宮城県石巻市桃生町寺崎字元町116-1</t>
  </si>
  <si>
    <t>工事費負担金の総額 224.7百万円(消費税等相当額 20.4百万円を含む)、税抜204.3百万円（架空線204.0/計量0.3）。概算工事費の総額 225.0百万円(税込)。別紙「概算工事費及び工事費負担金の総額」より</t>
  </si>
  <si>
    <t>配電設備 30か月程度 ／ バンク逆潮流対策(自社工事) 2025年度運開予定 ／ 混雑管理システム(ローカル系統) 運開時期は別途HP等でお知らせします。（契約手続き期間は含まず。工事費負担金入金後の期間）</t>
  </si>
  <si>
    <t>希望2026年2月9日。回答日＋配電設備工期30か月の単純計算で2027年7月頃（契約手続き期間は含まず）→希望日に間に合わず</t>
  </si>
  <si>
    <t>電柱9本／106本(14m・16m)、高圧線4,867m／5,418m(Al-OC-L200mm2)、高圧引込線30m、柱上変圧器タップ切替9箇所、電圧調整器3台／2台(5,000kVA・3,000kVA)、計量器2台・計器用変成器1台(200A)。適正電圧逸脱のため高圧線新設・張替、タップ切替、自動電圧調整器新設。既設自動電圧調整器は許容電流超過のため取替</t>
  </si>
  <si>
    <t>上位系統増強工事なし。別途、バンク逆潮流対策（自社工事）2025年度運開予定</t>
  </si>
  <si>
    <t>ノンファーム型接続適用（基幹系統:別紙1-1グループ[宮城1]、ローカル系統:西石巻変電所154/66kV主要変圧器(406)）、再給電方式（一定の順序）、PCS力率一定制御 遅れ97%（有効出力1,998kW程度）、非認証PCSの実機試験成績書提出、出力制御設定の確認書類提出、N-1電制本格適用、運用上の制約あり（作業停止時等の発電抑制・停止）、前提条件: 順潮流側検討時、力率98%</t>
  </si>
  <si>
    <t>状態: 保留。 回答一覧No100</t>
  </si>
  <si>
    <t>状態: 保留。 回答一覧No101</t>
  </si>
  <si>
    <t>03_電力/02_接続検討/04_回答/【接続検討回答書】No047_石巻市桃生町寺崎字元町116-1（A42124040）.pdf</t>
  </si>
  <si>
    <t>048</t>
  </si>
  <si>
    <t>2024-12-19</t>
  </si>
  <si>
    <t>2024-09-20</t>
  </si>
  <si>
    <t>株式会社パワーエックス（PX大崎BESS1, 受付番号A43124081）</t>
  </si>
  <si>
    <t>宮城県大崎市岩出山南沢字桂沢19-63</t>
  </si>
  <si>
    <t>岩出山連絡線36号より架空線連系</t>
  </si>
  <si>
    <t>工事費負担金の総額 145.3百万円(消費税等相当額 13.2百万円を含む)、税抜132.1百万円（架空線119.8/変電設備12.0/計量0.3）。概算工事費の総額 2,020.8百万円(税込)。別紙「概算工事費及び工事費負担金の総額」より</t>
  </si>
  <si>
    <t>配電設備工事 42か月程度 ／ 上位系統増強工事 2026年6月頃完了見込み ／ 混雑管理システム(ローカル系統) 運開時期は別途HP等でお知らせします。（契約手続き期間は含まず。工事費負担金入金後の期間）</t>
  </si>
  <si>
    <t>希望2026年1月12日。回答日＋配電設備工期42か月の単純計算で2028年6月頃（契約手続き期間は含まず）→希望日に間に合わず</t>
  </si>
  <si>
    <t>電柱2本／54本(16m・14m)、高圧線6,742m(AL-OC-L200mm2)、高圧引込線8m、電圧調整器2台(SVRII型3,000kVA)、計量器2台・計器用変成器1台(200A)、上位系統増強工事1式（宮城(変)主要変圧器）。高圧線延長、電圧調整器新設</t>
  </si>
  <si>
    <t>ノンファーム型接続適用（基幹系統:別紙1-1グループ[宮城1]、ローカル系統:66kV荒雄線(4A2A)、宮城変電所154/66kV主要変圧器(401)）、再給電方式（一定の順序）、PCS力率一定制御 95%（有効出力1,998kW程度）、非認証PCSの実機試験成績書提出、出力制御設定の確認書類提出、書類不備による未検討項目あり（系統連系申込時に技術検討）、N-1電制本格適用、運用上の制約あり（作業停止時等の発電抑制・停止）</t>
  </si>
  <si>
    <t>状態: 保留。 回答一覧No102</t>
  </si>
  <si>
    <t>状態: 保留。 回答一覧No103</t>
  </si>
  <si>
    <t>03_電力/02_接続検討/04_回答/【接続検討回答書】No048_大崎市岩出山南沢字桂沢19-63（A43124081）.pdf</t>
  </si>
  <si>
    <t>049</t>
  </si>
  <si>
    <t>2025-01-24</t>
  </si>
  <si>
    <t>2024-10-24</t>
  </si>
  <si>
    <t>株式会社パワーエックス（PX奥州BESS1, 受付番号A23124052）</t>
  </si>
  <si>
    <t>岩手県奥州市前沢字狐石484-1</t>
  </si>
  <si>
    <t>工事費負担金の総額 13.6百万円(消費税等相当額 1.2百万円を含む)、税抜12.4百万円（架空線12.1/計量0.3）。概算工事費の総額 13.9百万円(税込)。別紙「概算工事費及び工事費負担金の総額」より</t>
  </si>
  <si>
    <t>配電設備工事 9か月程度 ／ 混雑管理システム(ローカル系統) 運開時期は別途HP等でお知らせします。（契約手続き期間は含まず。工事費負担金入金後の期間）</t>
  </si>
  <si>
    <t>状態: 保留。 回答一覧No104</t>
  </si>
  <si>
    <t>希望2026年2月9日。回答日＋配電設備工期9か月の単純計算で2025年10月頃（契約手続き期間は含まず）</t>
  </si>
  <si>
    <t>電柱1本／1本(コン柱)、高圧線25m(AL-ACSR-L120mm2)、高圧引込線10m、電圧調整器1台(5000kVA)、計量器2台・計器用変成器1台(200A)。高圧線新設に伴う電柱新設・建替、電圧調整器新設</t>
  </si>
  <si>
    <t>ノンファーム型接続適用（基幹系統:別紙1-1グループ[岩手2]、ローカル系統:なし）、再給電方式（一定の順序）、PCS力率一定制御 95%（有効出力1,998kW程度）、非認証PCSの実機試験成績書提出、出力制御設定の確認書類提出、書類不備による未検討項目あり（系統連系申込時に技術検討）、N-1電制本格適用、運用上の制約あり（作業停止時等の発電抑制・停止）</t>
  </si>
  <si>
    <t>状態: 保留。 回答一覧No105</t>
  </si>
  <si>
    <t>【接続検討回答書】No049_奥州市前沢字狐石484-1（A23124052）.pdf</t>
  </si>
  <si>
    <t>状態: 保留。 回答一覧No106</t>
  </si>
  <si>
    <t>03_電力/02_接続検討/04_回答/【接続検討回答書】No049_奥州市前沢字狐石484-1（A23124052）.pdf</t>
  </si>
  <si>
    <t>2025-08-13</t>
  </si>
  <si>
    <t>2025-05-13</t>
  </si>
  <si>
    <t>株式会社パワーエックス（PX奥州BESS1, 受付番号A23125415）</t>
  </si>
  <si>
    <t>工事費負担金の総額 39.2百万円(消費税等相当額 3.6百万円を含む)、税抜35.6百万円（架空線35.3/計量0.3）。概算工事費の総額 39.5百万円(税込)。別紙「概算工事費及び工事費負担金の総額」より</t>
  </si>
  <si>
    <t>配電設備工事 2年程度 ／ 混雑管理システム(ローカル系統) 運開時期は別途HP等でお知らせします。（契約手続き期間は含まず。工事費負担金入金後の期間）</t>
  </si>
  <si>
    <t>希望2026年2月9日。回答日＋配電設備工期24か月の単純計算で2027年8月頃（契約手続き期間は含まず）→希望日に間に合わず</t>
  </si>
  <si>
    <t>状態: 保留。 回答一覧No108</t>
  </si>
  <si>
    <t>電柱29本／1本、高圧線1,138m(AL-ACSR-L120mm2)、高圧引込線20m、柱上変圧器タップ変更2箇所、電圧調整器1台(逆潮流対応II型SVR 5,000kVA)、計量器2台・計器用変成器1台(200A)。既設系統が許容電流超過のため高圧線を延長（高圧線新設・電柱新設）、電圧調整器新設</t>
  </si>
  <si>
    <t>ノンファーム型接続適用（基幹系統:別紙1-1グループ[岩手2]、ローカル系統:なし）、再給電方式（一定の順序）、PCS力率一定制御 93%（有効出力1,998.00kW程度）、非認証PCSの実機試験成績書提出、出力制御設定の確認書類提出、書類不備による未検討項目あり（系統連系申込時に技術検討）、早期連系追加対策(充電制限)を適用（一関(変)154kV/66kV主要変圧器の運用容量超過のため。スケジュール運転機能等の導入要。同意しない場合は工事概要・負担金・工期が変更）、N-1電制本格適用、運用上の制約あり（作業停止時等の発電抑制・停止）、前提条件: 先行する他発電設備が連系すること</t>
  </si>
  <si>
    <t>状態: 保留（【保留】フォルダ内）。検討対象年度2024~2025年度。初回回答(A23124052, 2025-01-24)からの再接続検討（2回目）。早期連系追加対策(充電制限)を前提とした検討結果。</t>
  </si>
  <si>
    <t>状態: 保留。 回答一覧No109</t>
  </si>
  <si>
    <t>03_電力/02_接続検討/12_回答（2回目）/【再接続検討回答書】No049_奥州市前沢字狐石484-1（A23125415）.pdf</t>
  </si>
  <si>
    <t>2026-01-14</t>
  </si>
  <si>
    <t>2025-10-14</t>
  </si>
  <si>
    <t>株式会社パワーエックス（PX奥州BESS1, 受付番号A23125477）</t>
  </si>
  <si>
    <t>衣川線（延長。本文(c)より）</t>
  </si>
  <si>
    <t>状態: 保留。 回答一覧No110</t>
  </si>
  <si>
    <t>工事費負担金の総額 8,079.8百万円(消費税等相当額 734.5百万円を含む)、税抜7,345.3百万円（架空線12.8/変電設備22.0/計量0.3/一般負担の上限超過分7,310.2）。概算工事費の総額 8,171.2百万円(税込)。別紙「概算工事費及び工事費負担金の総額」より</t>
  </si>
  <si>
    <t>配電設備工事 6ヶ月程度 ／ 上位系統増強工事 7年3ヶ月程度 ／ 混雑管理システム(ローカル系統) 運開時期は別途HP等でお知らせします。（契約手続き期間は含まず。工事費負担金入金後の期間）</t>
  </si>
  <si>
    <t>希望2026年2月9日。回答日＋配電設備工期6か月の単純計算で2026年7月頃（契約手続き期間は含まず）→希望日に間に合わず。上位系統増強工事 7年3ヶ月程度は別途</t>
  </si>
  <si>
    <t>電柱10本、高圧線483m(AL-ACSR-L120mm2)、高圧引込線20m、柱上変圧器タップ変更18箇所、計量器2台・計器用変成器1台(200A)、上位系統増強工事1式（岩手(変)主要変圧器）。衣川線延長（高圧線新設・電柱新設）</t>
  </si>
  <si>
    <t>あり: 岩手(変)275/154kV主要変圧器(MT4、5)取替工事(300MVA→300MVA)、同LA(避雷器)移設工事（充電側連系で運用容量超過のため）。上位系統増強工事7年3ヶ月程度。変電設備工事の負担金概算22.0百万円、一般負担の上限超過分7,310.2百万円</t>
  </si>
  <si>
    <t>ノンファーム型接続適用（基幹系統:別紙1-1グループ[岩手2]、ローカル系統:なし）、再給電方式（一定の順序）、PCS力率一定制御 90%、非認証PCSの実機試験成績書提出、出力制御設定の確認書類提出、早期連系追加対策(充電制限)は適用不可、N-1電制本格適用、運用上の制約あり（作業停止時等の発電抑制・停止）</t>
  </si>
  <si>
    <t>状態: 保留（【保留】フォルダ内）。検討対象年度2024~2025年度。負担金は上位系統増強に係る一般負担の上限超過分を含むため極めて高額。再接続検討（3回目、格納フォルダ「22_回答（3回目）」）。2回目(A23125415)は充電制限適用で負担金39.2百万円だったが、本回答では充電制限が適用不可となり上位系統増強が必要。</t>
  </si>
  <si>
    <t>状態: 保留。 回答一覧No111</t>
  </si>
  <si>
    <t>03_電力/02_接続検討/22_回答（3回目）/【再接続検討回答書】No049_奥州市前沢字狐石484-1（A23125477）.pdf</t>
  </si>
  <si>
    <t>052</t>
  </si>
  <si>
    <t>株式会社パワーエックス（PX白河BESS2, 受付番号A62224099）</t>
  </si>
  <si>
    <t>状態: 保留。 回答一覧No112</t>
  </si>
  <si>
    <t>福島県白河市東工業団地字南7他</t>
  </si>
  <si>
    <t>工事費負担金の総額 4.5百万円(消費税等相当額 0.4百万円を含む)、税抜4.1百万円（架空線3.8/計量0.3）。概算工事費の総額 4.7百万円(税込)。別紙「概算工事費及び工事費負担金の総額」より</t>
  </si>
  <si>
    <t>配電設備工事 5か月程度 ／ 混雑管理システム(ローカル系統) 運開時期は別途HP等でお知らせします。（契約手続き期間は含まず。工事費負担金入金後の期間）</t>
  </si>
  <si>
    <t>希望2025年3月9日。回答日＋配電設備工期5か月の単純計算で2025年7月頃（契約手続き期間は含まず）→希望日に間に合わず</t>
  </si>
  <si>
    <t>高圧線337m(AL-OC-L200mm2)、高圧引込線30m、柱上変圧器タップ変更7箇所、計量器2台・計器用変成器1台(200A)。許容電流超過の高圧線張替</t>
  </si>
  <si>
    <t>ノンファーム型接続適用（基幹系統:別紙1-1グループ[福島4]、ローカル系統:154kV第一、第二福島線(0626)154kV日和田線(0632)66kV東釜子線(691A)泉崎変電所154/66kV主要変圧器(608)）、再給電方式（一定の順序）、PCS力率一定制御 93%（有効出力1,998kW程度）、非認証PCSの実機試験成績書提出、出力制御設定の確認書類提出、書類不備による未検討項目あり（系統連系申込時に技術検討）、N-1電制本格適用、運用上の制約あり（作業停止時等の発電抑制・停止）</t>
  </si>
  <si>
    <t>状態: 保留。 回答一覧No113</t>
  </si>
  <si>
    <t>03_電力/02_接続検討/04_回答/【接続検討回答書】No052_白河市東工業団地字南7他（A62224099）.pdf</t>
  </si>
  <si>
    <t>株式会社パワーエックス（PX白河BESS2, 受付番号A62225433）</t>
  </si>
  <si>
    <t>状態: 保留。 回答一覧No114</t>
  </si>
  <si>
    <t>工事費負担金の総額 6,589.3百万円(消費税等相当額 599.0百万円を含む)、税抜5,990.3百万円（架空線3.8/計量0.3/一般負担の上限超過分5,986.2）。概算工事費の総額 6,702.7百万円(税込)。別紙「概算工事費及び工事費負担金の総額」より</t>
  </si>
  <si>
    <t>配電設備工事 5か月程度 ／ 上位系統増強工事 10年2か月程度 (先行する系統利用者の為の増強工事を含む) ／ 混雑管理システム(ローカル系統) 運開時期は別途HP等でお知らせします。（契約手続き期間は含まず。工事費負担金入金後の期間）</t>
  </si>
  <si>
    <t>希望2026年3月9日。回答日＋配電設備工期5か月の単純計算で2026年1月頃（契約手続き期間は含まず）。上位系統増強工事 10年2か月程度 (先行する系統利用者の為の増強工事を含む)は別途</t>
  </si>
  <si>
    <t>高圧線337m(AL-OC-L200mm2)、高圧引込線30m、開閉器1台(逆潮流対応型事故区間表示器)、計量器2台・計器用変成器1台(200A)、上位系統増強工事1式（須賀川(変)MT2台・泉崎(変)MT2台取替）。高圧線張替、逆潮流対応型機器への取替</t>
  </si>
  <si>
    <t>あり: 須賀川(変)275/154kV主要変圧器取替(2台)および泉崎(変)154/66kV主要変圧器取替(2台)が貴社連系のため必要。先行利用者の連系に伴い須賀川(変)・東福島(変)275/154kV主要変圧器増設(各1台)ほかを予定（当社工事・当社負担）。上位系統増強工事10年2か月程度（先行利用者向け増強を含む）。一般負担の上限超過分5,986.2百万円</t>
  </si>
  <si>
    <t>ノンファーム型接続適用（基幹系統:別紙1-1グループ[福島4]、ローカル系統:154kV第一、第二福島線(0626)、154kV日和田線(0632)、66kV東釜子線(691A)、泉崎変電所154/66kV主要変圧器(608)）、再給電方式（一定の順序）、PCS力率一定制御 92%（有効出力1,998kW程度）、非認証PCSの実機試験成績書提出、出力制御設定の確認書類提出、書類不備による未検討項目あり（系統連系申込時に技術検討）、早期連系追加対策(充電制限)は適用不可、N-1電制本格適用、運用上の制約あり（作業停止時等の発電抑制・停止）</t>
  </si>
  <si>
    <t>状態: 保留。 回答一覧No116</t>
  </si>
  <si>
    <t>状態: 保留（【保留】フォルダ内）。検討対象年度2024~2025年度。負担金は上位系統増強に係る一般負担の上限超過分を含むため極めて高額。初回回答(A62224099, 2025-02-10)からの再接続検討。</t>
  </si>
  <si>
    <t>【保留】/142_境港市弥生町207（鳥取県）_高圧蓄電所</t>
  </si>
  <si>
    <t>状態: 保留。回答書なし。02-1_仮回答に「中国電力連絡」PDF2件のみ</t>
  </si>
  <si>
    <t>03_電力/02_接続検討/12_回答（2回目）/【再接続検討回答書】No052_白河市東工業団地字南7他（A62225433）.pdf</t>
  </si>
  <si>
    <t>054</t>
  </si>
  <si>
    <t>株式会社パワーエックス（PX大崎BESS2, 受付番号A43124115）</t>
  </si>
  <si>
    <t>宮城県大崎市岩出山字細峯55-137</t>
  </si>
  <si>
    <t>多田川幹線59号より架空線連系</t>
  </si>
  <si>
    <t>状態: 保留。 回答一覧No117</t>
  </si>
  <si>
    <t>工事費負担金の総額 43.5百万円(消費税等相当額 4.0百万円を含む)、税抜39.5百万円（架空線27.2/変電設備12.0/計量0.3）。概算工事費の総額 1,919.0百万円(税込)。別紙「概算工事費及び工事費負担金の総額」より</t>
  </si>
  <si>
    <t>配電設備工事 14か月程度 ／ 上位系統増強工事 2026年6月頃完了見込み ／ 混雑管理システム(ローカル系統) 運開時期は別途HP等でお知らせします。（契約手続き期間は含まず。工事費負担金入金後の期間）</t>
  </si>
  <si>
    <t>希望2025年3月9日。回答日＋配電設備工期14か月の単純計算で2026年4月頃（契約手続き期間は含まず）→希望日に間に合わず。上位系統増強工事 2026年6月頃完了見込みは別途</t>
  </si>
  <si>
    <t>電柱1本／1本(コン柱)、高圧線1,757m(AL-ACSR-L120mm2)、高圧引込線23m、電圧調整器1台(SVRII型3,000kVA)、計量器2台・計器用変成器1台(200A)、上位系統増強工事1式（宮城(変)主要変圧器）。高圧延長工事、電圧調整器新設</t>
  </si>
  <si>
    <t>ノンファーム型接続適用（基幹系統:別紙1-1グループ[宮城1]、ローカル系統:66kV荒雄線(4A2A)、宮城変電所154/66kV主要変圧器(401)）、再給電方式（一定の順序）、PCS力率一定制御 91%（有効出力1,998kW程度）、非認証PCSの実機試験成績書提出、出力制御設定の確認書類提出、書類不備による未検討項目あり（系統連系申込時に技術検討）、N-1電制本格適用、運用上の制約あり（作業停止時等の発電抑制・停止）</t>
  </si>
  <si>
    <t>状態: 保留。 回答一覧No118</t>
  </si>
  <si>
    <t>状態: 保留。 回答一覧No119</t>
  </si>
  <si>
    <t>03_電力/02_接続検討/04_回答/【接続検討回答書】No054_大崎市岩出山字細峯55-137（A43124115）.pdf</t>
  </si>
  <si>
    <t>055</t>
  </si>
  <si>
    <t>2025-03-13</t>
  </si>
  <si>
    <t>2024-12-13</t>
  </si>
  <si>
    <t>株式会社パワーエックス（PX松島BESS1, 受付番号A41224038）</t>
  </si>
  <si>
    <t>宮城県松島町高城字石田沢-17-1他</t>
  </si>
  <si>
    <t>湯の沢線24号より架空線連系</t>
  </si>
  <si>
    <t>工事費負担金の総額 70.4百万円(消費税等相当額 6.4百万円を含む)、税抜64.0百万円（架空線54.6/変電設備1.1/計量0.3/一般負担の上限超過分8.0）。概算工事費の総額 168.6百万円(税込)。別紙「概算工事費及び工事費負担金の総額」より</t>
  </si>
  <si>
    <t>【保留】/148_光市大字束荷974-1（山口県）_高圧蓄電所</t>
  </si>
  <si>
    <t>配電設備工事 2年程度 ／ 上位系統増強工事 2年7か月程度 ／ 混雑管理システム(ローカル系統) 運開時期は別途HP等でお知らせします。（契約手続き期間は含まず。工事費負担金入金後の期間）</t>
  </si>
  <si>
    <t>状態: 保留。回答書なし。02-1_仮回答に接続検討申込書の書類確認チェック票（G周南433）のみ</t>
  </si>
  <si>
    <t>希望2026年4月6日。回答日＋配電設備工期24か月の単純計算で2027年3月頃（契約手続き期間は含まず）→希望日に間に合わず。上位系統増強工事 2年7か月程度は別途</t>
  </si>
  <si>
    <t>電柱1本／1本、高圧線3,150m(AL-OC-L200mm2)、高圧引込線20m、電圧調整器1台(SVRII型5,000kVA)、高圧ケーブル158m(CVT325mm2)、計量器2台・計器用変成器1台(200A)、上位系統増強工事1式（仙台港(変)塩釜線）。高圧線延長、電圧調整器新設</t>
  </si>
  <si>
    <t>あり: 仙台港(変)66kV塩釜線1、2号直列機器増強工事(800A→1200A)（充電側連系で運用容量超過のため）。上位系統増強工事2年7か月程度。変電設備工事の負担金概算1.1百万円、一般負担の上限超過分8.0百万円</t>
  </si>
  <si>
    <t>ノンファーム型接続適用（基幹系統:別紙1-1グループ[宮城2]、ローカル系統:なし）、再給電方式（一定の順序）、PCS力率一定制御 97%（有効出力1,998kW程度）、非認証PCSの実機試験成績書提出、出力制御設定の確認書類提出、書類不備による未検討項目あり（系統連系申込時に技術検討）、N-1電制本格適用、運用上の制約あり（作業停止時等の発電抑制・停止）</t>
  </si>
  <si>
    <t>状態: 保留（【保留】フォルダ内）。検討対象年度2023~2024年度。発電場所は本文テキスト層「石田沢-17-1他」、フォルダ・ファイル名は「石田沢一17-1他」。</t>
  </si>
  <si>
    <t>状態: 保留。 回答一覧No121</t>
  </si>
  <si>
    <t>03_電力/02_接続検討/04_回答/【接続検討回答書】No055_松島町高城字石田沢一17-1他（A41224038）.pdf</t>
  </si>
  <si>
    <t>056</t>
  </si>
  <si>
    <t>株式会社パワーエックス（PX雫石BESS1, 受付番号A21124099）</t>
  </si>
  <si>
    <t>岩手県雫石町中黒沢川191-42</t>
  </si>
  <si>
    <t>雫石変電所（2号変圧器が逆潮流。本文(c)より）</t>
  </si>
  <si>
    <t>七つ森線（延長。本文(c)より）</t>
  </si>
  <si>
    <t>状態: 保留。 回答一覧No122</t>
  </si>
  <si>
    <t>工事費負担金の総額 1,172.5百万円(消費税等相当額 106.6百万円を含む)、税抜1,065.9百万円（架空線69.4/地中線40.2/バンク逆潮流対策7.0/変電設備949.0/計量0.3）。概算工事費の総額 1,182.6百万円(税込)。別紙「概算工事費及び工事費負担金の総額」より</t>
  </si>
  <si>
    <t>配電設備工事 2年程度 ／ バンク逆潮流対策工事 1年5か月 ／ 上位系統工事 6年5か月 ／ 混雑管理システム(ローカル系統) 運開時期は別途HP等でお知らせします。（契約手続き期間は含まず。工事費負担金入金後の期間）</t>
  </si>
  <si>
    <t>希望2026年4月6日。回答日＋配電設備工期24か月の単純計算で2027年3月頃（契約手続き期間は含まず）→希望日に間に合わず。バンク逆潮流対策工事 1年5か月、上位系統工事 6年5か月は別途</t>
  </si>
  <si>
    <t>電柱19本／37本(コン柱)、高圧線2,580m／274m(AL-ACSR-L120mm2／AL-OC-L200mm2)、高圧引込線25m、開閉器1台／2台(400A、逆潮流対応型事故区間表示器)、柱上変圧器タップ変更2台・B種接地改修3個所、電圧調整器2台(逆潮流対応II型SVR 3,000kVA・5,000kVA)、管路159m(100φ)、マンホール1個所、高圧ケーブル191m(CVT100mm2)、バンク逆潮流対策1式、計量器2台・計器用変成器1台(200A)、上位系統増強工事1式（盛岡(変)主要変圧器）</t>
  </si>
  <si>
    <t>あり: 盛岡(変)154/66kV主要変圧器(MT4)増設工事（変電設備工事の負担金概算949.0百万円）、雫石変電所2号変圧器バンク逆潮流対策(7.0百万円)。上位系統工事6年5か月、バンク逆潮流対策工事1年5か月</t>
  </si>
  <si>
    <t>ノンファーム型接続適用（基幹系統:別紙1-1グループ[岩手2]、ローカル系統:154kV盛岡線(0535)、66kV雫石線(232A)）、再給電方式（一定の順序）、PCS力率一定制御 91%（有効出力1,998kW程度）、非認証PCSの実機試験成績書提出、出力制御設定の確認書類提出、書類不備による未検討項目あり（系統連系申込時に技術検討）、N-1電制本格適用、運用上の制約あり（作業停止時等の発電抑制・停止）、前提条件: 先行する他発電設備が連系したものとして検討</t>
  </si>
  <si>
    <t>状態: 保留（【保留】フォルダ内）。検討対象年度2023~2024年度。負担金は上位系統増強に係る一般負担の上限超過分を含むため極めて高額。</t>
  </si>
  <si>
    <t>【保留】/152_下関市豊北町大字田耕12509-3（山口県）_高圧蓄電所</t>
  </si>
  <si>
    <t>状態: 保留。03_電力配下に接続検討回答書・再接続検討回答書なし</t>
  </si>
  <si>
    <t>【保留】/154_田布施町大字下田布施3147-1他（山口県）_高圧蓄電所</t>
  </si>
  <si>
    <t>状態: 保留。回答書なし。02-1_仮回答に書類確認チェック票（G周南462）・接続検討申込取下の振込先口座通知書・中国電力連絡PDF</t>
  </si>
  <si>
    <t>03_電力/02_接続検討/04_回答/【接続検討回答書】No056_雫石町中黒沢川191-42（A21124099）.pdf</t>
  </si>
  <si>
    <t>059</t>
  </si>
  <si>
    <t>2025-03-12</t>
  </si>
  <si>
    <t>株式会社パワーエックス（PX八幡平BESS1, 受付番号A21124100）</t>
  </si>
  <si>
    <t>岩手県八幡平市松尾寄木第1地割589-3</t>
  </si>
  <si>
    <t>柏台変電所（1号変圧器が逆潮流。本文(c)より）</t>
  </si>
  <si>
    <t>下倉線（延長。本文(c)より）</t>
  </si>
  <si>
    <t>工事費負担金の総額 50.2百万円(消費税等相当額 4.6百万円を含む)、税抜45.6百万円（架空線10.1/地中線28.2/バンク逆潮流対策7.0/計量0.3）。概算工事費の総額 50.4百万円(税込)。別紙「概算工事費及び工事費負担金の総額」より</t>
  </si>
  <si>
    <t>配電設備工事 1年3か月程度 ／ バンク逆潮流対策工事 1年5か月程度 ／ 混雑管理システム(ローカル系統) 運開時期は別途HP等でお知らせします。（契約手続き期間は含まず。工事費負担金入金後の期間）</t>
  </si>
  <si>
    <t>希望2026年4月6日。回答日＋配電設備工期15か月の単純計算で2026年6月頃（契約手続き期間は含まず）→希望日に間に合わず。バンク逆潮流対策工事 1年5か月程度は別途</t>
  </si>
  <si>
    <t>【保留】/159_北広島町新庄10732-89他（広島県）_高圧蓄電所</t>
  </si>
  <si>
    <t>電柱4本(コン柱)、高圧線126m(AL-ACSR-L120mm2)、高圧引込線10m、柱上変圧器タップ変更4台、電圧調整器1台／1台(逆潮流対応II型SVR 5,000kVA・サイリスタ型3,000kVA)、管路122m(100φ)、マンホール1個所、高圧ケーブル146m(CVT100mm2)、バンク逆潮流対策1式(系統地絡検出リレー設置、変圧器盤・電調盤改造)、計量器2台・計器用変成器1台(200A)。下倉線延長、景観形成基準により一部は高圧ケーブル地中埋設、自動電圧調整器取替</t>
  </si>
  <si>
    <t>上位系統増強工事なし。バンク逆潮流対策工事あり（柏台変電所1号変圧器、1年5か月程度、負担金概算7.0百万円）</t>
  </si>
  <si>
    <t>状態: 保留。回答書なし。02-2_仮回答に「中国電力連絡」PDFのみ</t>
  </si>
  <si>
    <t>ノンファーム型接続適用（基幹系統:別紙1-1グループ[岩手1]、ローカル系統:154kV姫神線(0530)、154kV盛岡線(0535)、66kV渋民線(223A)66kV沼宮内線(223E)、66kV好摩支線(223F)）、再給電方式（一定の順序）、PCS力率一定制御 96%（有効出力1,998kW程度）、非認証PCSの実機試験成績書提出、出力制御設定の確認書類提出、書類不備による未検討項目あり（系統連系申込時に技術検討）、N-1電制本格適用、運用上の制約あり（作業停止時等の発電抑制・停止）</t>
  </si>
  <si>
    <t>【保留】/160_下関市豊北町大字田耕12428-1（山口県）_高圧蓄電所</t>
  </si>
  <si>
    <t>状態: 保留。回答書なし。02-1_仮回答に「中国電力連絡」PDFのみ</t>
  </si>
  <si>
    <t>03_電力/02_接続検討/04_回答/【接続検討回答書】No059_八幡平市松尾寄木第1地割589-3（A21124100）.pdf</t>
  </si>
  <si>
    <t>061</t>
  </si>
  <si>
    <t>2025-04-10</t>
  </si>
  <si>
    <t>株式会社パワーエックス（PX伊達BESS1, 受付番号A61124146）</t>
  </si>
  <si>
    <t>福島県伊達市月舘町糠田字後田35-1</t>
  </si>
  <si>
    <t>川俣変電所（配電用変圧器を15⇒20MVAへ更新。本文(c)より）</t>
  </si>
  <si>
    <t>月館線（延長。本文(c)より）</t>
  </si>
  <si>
    <t>【保留】/162_鶴岡市友江字川向298-1（山形県）_高圧蓄電所</t>
  </si>
  <si>
    <t>状態: 保留。回答書なし。02-1_仮回答に「東北電力連絡」PDF2件のみ</t>
  </si>
  <si>
    <t>工事費負担金の総額 208.0百万円(消費税等相当額 18.9百万円を含む)、税抜189.1百万円（架空線188.8/計量0.3）。概算工事費の総額 208.2百万円(税込)。別紙「概算工事費及び工事費負担金の総額」より</t>
  </si>
  <si>
    <t>配電設備工事 44か月程度 ／ 変電設備工事(自社工事) 2027年度工事完了予定 ／ 混雑管理システム(ローカル系統) 運開時期は別途HP等でお知らせします。（契約手続き期間は含まず。工事費負担金入金後の期間）</t>
  </si>
  <si>
    <t>希望2026年5月11日。回答日＋配電設備工期44か月の単純計算で2028年12月頃（契約手続き期間は含まず）→希望日に間に合わず</t>
  </si>
  <si>
    <t>電柱42本／113本、高圧線3,900m／8,000m(AL-ACSR-L120mm2・AL-OC-L200mm2)、高圧引込線25m、開閉器2台／2台(逆潮流対応型事故区間表示器・開閉器本体400A)、柱上変圧器タップ変更19箇所、電圧調整器1台／3台(取替:逆潮流対応II型SVR5000kVA、新設:サイリスタ型3000kVA)、計量器2台・計器用変成器1台(200A)。月館線延長、高圧線張替、電圧調整器新設・取替、逆潮流対応型機器への取替</t>
  </si>
  <si>
    <t>上位系統増強工事なし。川俣変電所配電用変圧器の更新(15⇒20MVA)が必要（2027年度に自社工事でLT2取替予定、変電設備工事は2027年度工事完了予定）</t>
  </si>
  <si>
    <t>ノンファーム型接続適用（基幹系統:別紙1-1グループ[福島1]、ローカル系統:66kV南相線(651A)）、再給電方式（一定の順序）、PCS力率一定制御 94%（有効出力1,998kW程度）、非認証PCSの実機試験成績書提出、出力制御設定の確認書類提出、書類不備による未検討項目あり（系統連系申込時に技術検討）、N-1電制本格適用、運用上の制約あり（作業停止時等の発電抑制・停止）</t>
  </si>
  <si>
    <t>【保留】/165_三原市久井町山中野2257-1他（広島県）_高圧蓄電所</t>
  </si>
  <si>
    <t>状態: 保留。接続検討回答書はなく、東京電力PGの概算工期回答書（仮回答）1件を行にした 回答一覧No124</t>
  </si>
  <si>
    <t>03_電力/02_接続検討/04_回答/【接続検討回答書】No061_伊達市月舘町糠田字後田35-1（A61124146）.pdf</t>
  </si>
  <si>
    <t>065</t>
  </si>
  <si>
    <t>2025-05-02</t>
  </si>
  <si>
    <t>2025-02-06</t>
  </si>
  <si>
    <t>株式会社パワーエックス（PX奥州BESS2, 受付番号A23124078）</t>
  </si>
  <si>
    <t>岩手県奥州市江刺藤里字外ノ沢539</t>
  </si>
  <si>
    <t>工事費負担金の総額 4,990.3百万円(消費税等相当額 453.7百万円を含む)、税抜4,536.6百万円（架空線50.1/計量0.3/一般負担の上限超過分4,486.2）。概算工事費の総額 5,080.6百万円(税込)。別紙「概算工事費及び工事費負担金の総額」より</t>
  </si>
  <si>
    <t>【中止】/001_みなかみ町上津687-2他（群馬県）_高圧蓄電所</t>
  </si>
  <si>
    <t>状態: 中止。03_電力配下に接続検討回答書・再接続検討回答書なし</t>
  </si>
  <si>
    <t>配電設備工事 36カ月程度 ／ 混雑管理システム(ローカル系統) 運開時期は別途HP等でお知らせします。 ／ 上位系統増強工事 96カ月（契約手続き期間は含まず。工事費負担金入金後の期間）</t>
  </si>
  <si>
    <t>希望2026年6月8日。回答日＋配電設備工期36か月の単純計算で2028年5月頃（契約手続き期間は含まず）→希望日に間に合わず。上位系統増強工事 96カ月は別途</t>
  </si>
  <si>
    <t>電柱16本、高圧線2,819m(AL-ACSR-L120mm2／AL-OC-L200mm2)、高圧引込線12m、開閉器1台(300A→400A)、電圧調整器1台／1台(逆潮流対応II型SVR 3000kVA→5000kVA)、計量器2台・計器用変成器1台(200A)、上位系統増強工事1式（水沢(変)主要変圧器）。高圧線延長、高圧線張替・自動電圧調整器取替、電柱建替、柱上変圧器タップ変更</t>
  </si>
  <si>
    <t>あり: 水沢(変)275/154kV主要変圧器(MT3)増設工事（充電側連系で運用容量超過のため）。上位系統増強工事96カ月。一般負担の上限超過分4,486.2百万円</t>
  </si>
  <si>
    <t>ノンファーム型接続適用（基幹系統:別紙1-1グループ[岩手3]、ローカル系統:なし）、再給電方式（一定の順序）、PCS力率一定制御 89%（有効出力1,998kW程度）、非認証PCSの実機試験成績書提出、出力制御設定の確認書類提出、書類不備による未検討項目あり（系統連系申込時に技術検討）、N-1電制本格適用、運用上の制約あり（作業停止時等の発電抑制・停止）、前提条件: 先行する他発電設備が連系すること</t>
  </si>
  <si>
    <t>【中止】/002_成田市前林865-1（千葉県）_高圧蓄電所</t>
  </si>
  <si>
    <t>【中止】/003_山武市埴谷1721-3他（千葉県）_高圧蓄電所</t>
  </si>
  <si>
    <t>03_電力/02_接続検討/04_回答/【接続検討回答書】No065_奥州市江刺藤里字外ノ沢539（A23124078）.pdf</t>
  </si>
  <si>
    <t>070</t>
  </si>
  <si>
    <t>株式会社パワーエックス（PX五戸BESS1, 受付番号A13124082）</t>
  </si>
  <si>
    <t>青森県五戸町字平佐窪89-1</t>
  </si>
  <si>
    <t>南部古館変電所（1号変圧器を10MVA→20MVAへ更新。本文(c)より）</t>
  </si>
  <si>
    <t>工事費負担金の総額 51.8百万円(消費税等相当額 4.7百万円を含む)、税抜47.1百万円（架空線7.7/変電設備15.0/計量0.3/一般負担の上限超過分24.1）。概算工事費の総額 144.4百万円(税込)。別紙「概算工事費及び工事費負担金の総額」より</t>
  </si>
  <si>
    <t>配電設備工事 12か月程度 ／ 変電設備工事 37か月程度 ／ 混雑管理システム(ローカル系統) 運開時期は別途HP等でお知らせします。（契約手続き期間は含まず。工事費負担金入金後の期間）</t>
  </si>
  <si>
    <t>希望2026年5月11日。回答日＋配電設備工期12か月の単純計算で2026年4月頃（契約手続き期間は含まず）。変電設備工事 37か月程度は別途</t>
  </si>
  <si>
    <t>電柱1本、高圧引込線15m(AL-ACSR-L120mm2)、電圧調整器1台(逆潮流対応II型SVR 3000kVA)、変圧器増強1台(10MVA→20MVA)、計量器2台・計器用変成器1台(200A)。電圧調整器新設</t>
  </si>
  <si>
    <t>あり: 南部古館変電所1号変圧器の容量更新(10MVA→20MVA)（充電側で負荷上限値超過のため）。変電設備工事37か月程度、変電設備工事の負担金概算15.0百万円、一般負担の上限超過分24.1百万円</t>
  </si>
  <si>
    <t>【中止】/004_佐野市山越町186-1他（栃木県）_高圧蓄電所</t>
  </si>
  <si>
    <t>ノンファーム型接続適用（基幹系統:別紙1-1グループ[青森1]、ローカル系統:154kV西八戸線(0521)、南八戸変電所154/66kV主要変圧器(110)、66kV馬渕線(1A3A)）、再給電方式（一定の順序）、PCS力率一定制御 94%（有効出力1,998kW程度）、非認証PCSの実機試験成績書提出、出力制御設定の確認書類提出、書類不備による未検討項目あり（系統連系申込時に技術検討）、N-1電制本格適用、運用上の制約あり（作業停止時等の発電抑制・停止）、前提条件: 先行する他発電設備が連系すること</t>
  </si>
  <si>
    <t>【中止】/007_相馬市黒木字北台135-1（福島県）_高圧蓄電所</t>
  </si>
  <si>
    <t>03_電力/02_接続検討/04_回答/【接続検討回答書】No070_五戸町字平佐窪89-1（A13124082）.pdf</t>
  </si>
  <si>
    <t>071</t>
  </si>
  <si>
    <t>株式会社パワーエックス（PX喜多方BESS1, 受付番号A64224019）</t>
  </si>
  <si>
    <t>福島県喜多方市松山町鳥見山字中村道下堰西5045-1</t>
  </si>
  <si>
    <t>【中止】/009_おいらせ町浜道174-184（青森県）_高圧蓄電所</t>
  </si>
  <si>
    <t>工事費負担金の総額 11.0百万円(消費税等相当額 1.0百万円を含む)、税抜10.0百万円（架空線9.7/計量0.3）。概算工事費の総額 11.2百万円(税込)。別紙「概算工事費及び工事費負担金の総額」より</t>
  </si>
  <si>
    <t>希望2026年5月11日。回答日＋配電設備工期12か月の単純計算で2026年4月頃（契約手続き期間は含まず）</t>
  </si>
  <si>
    <t>高圧引込線20m(AL-ACSR-L120mm2)、開閉器1台(逆潮流対応型事故区間表示器)、電圧調整器1台(逆潮流対応II型SVR 5000kVA)、計量器2台・計器用変成器1台(200A)。電圧調整器新設、逆潮流対応型機器への取替。冬季は除雪・鉄板敷追加の可能性</t>
  </si>
  <si>
    <t>ノンファーム型接続適用（基幹系統:別紙1-1グループ[福島4]、ローカル系統:154kV第一、第二福島線(0626)）、再給電方式（一定の順序）、PCS力率一定制御 93%（有効出力1,998kW程度）、非認証PCSの実機試験成績書提出、出力制御設定の確認書類提出、書類不備による未検討項目あり（系統連系申込時に技術検討）、N-1電制本格適用、運用上の制約あり（作業停止時等の発電抑制・停止）</t>
  </si>
  <si>
    <t>状態: 進行中（対象フォルダ直下）。検討対象年度2023~2024年度。発電場所の「鳥」は本文テキスト層で欠落しているため、ファイル名・再回答書に合わせて補記。</t>
  </si>
  <si>
    <t>メモは再接続検討回答(A64225404)側に対応（メモ:喜多方市松山 No071）</t>
  </si>
  <si>
    <t>【中止】/010_三沢市大字三沢字早稲田33-4（青森県）_高圧蓄電所</t>
  </si>
  <si>
    <t>03_電力/02_接続検討/04_回答/【接続検討回答書】No071_喜多方市松山町鳥見山字中村道下堰西5045-1（A64224019）.pdf</t>
  </si>
  <si>
    <t>2025-09-30</t>
  </si>
  <si>
    <t>2025-06-30</t>
  </si>
  <si>
    <t>【中止】/011_三沢市大字三沢字戸崎3-1（青森県）_高圧蓄電所</t>
  </si>
  <si>
    <t>株式会社パワーエックス（PX喜多方BESS1, 受付番号A64225404）</t>
  </si>
  <si>
    <t>工事費負担金の総額 4,573.3百万円(消費税等相当額 415.8百万円を含む)、税抜4,157.5百万円（架空線10.0/計量0.3/一般負担の上限超過分4,147.2）。概算工事費の総額 4,677.9百万円(税込)。別紙「概算工事費及び工事費負担金の総額」より</t>
  </si>
  <si>
    <t>配電設備工事 7か月程度 ／ 混雑管理システム(ローカル系統) 運開時期は別途HP等でお知らせします。 ／ 上位系統増強工事 (先行する系統利用者の為の増強工事を含む) 10年2ヵ月（契約手続き期間は含まず。工事費負担金入金後の期間）</t>
  </si>
  <si>
    <t>希望2026年5月11日。回答日＋配電設備工期7か月の単純計算で2026年4月頃（契約手続き期間は含まず）。上位系統増強工事 (先行する系統利用者の為の増強工事を含む) 10年2ヵ月は別途</t>
  </si>
  <si>
    <t>高圧引込線20m(AL-ACSR-L120mm2)、開閉器1台(逆潮流対応型事故区間表示器)、柱上変圧器タップ変更2箇所、電圧調整器1台(逆潮流対応II型SVR 5000kVA)、計量器2台・計器用変成器1台(200A)、上位系統増強工事1式（須賀川(変)MT2台取替）</t>
  </si>
  <si>
    <t>あり: 須賀川(変)275/154kV主要変圧器取替(2台)が貴社連系のため必要。先行利用者の連系に伴い須賀川(変)・東福島(変)275/154kV主要変圧器増設(各1台)ほかを予定（当社工事・当社負担）。上位系統増強工事10年2ヵ月（先行利用者向け増強を含む）。一般負担の上限超過分4,147.2百万円</t>
  </si>
  <si>
    <t>ノンファーム型接続適用（基幹系統:別紙1-1グループ[福島4]、ローカル系統:154kV第一、第二福島線(0626)）、再給電方式（一定の順序）、PCS力率一定制御 94%（有効出力1,998kW程度）、非認証PCSの実機試験成績書提出、出力制御設定の確認書類提出、早期連系追加対策(充電制限)は適用不可、N-1電制本格適用、運用上の制約あり（作業停止時等の発電抑制・停止）</t>
  </si>
  <si>
    <t>状態: 進行中（対象フォルダ直下）。検討対象年度2024~2025年度。負担金は上位系統増強に係る一般負担の上限超過分を含むため極めて高額。初回回答(A64224019, 2025-04-10)からの再接続検討。</t>
  </si>
  <si>
    <t>【中止】/012_十和田市大字相坂字高清水78-506（青森県）_高圧蓄電所</t>
  </si>
  <si>
    <t>工期一致(7ヶ月)・上位系統増強10年2ヶ月も一致。負担金はメモに値なし（メモ:喜多方市松山 No071）</t>
  </si>
  <si>
    <t>【中止】/013_六戸町大字折茂字今熊242-139（青森県）_高圧蓄電所</t>
  </si>
  <si>
    <t>03_電力/02_接続検討/12_回答（2回目）/【再接続検討回答書】No071_喜多方市松山町鳥見山字中村道下堰西5045-1（A64225404）.pdf</t>
  </si>
  <si>
    <t>072</t>
  </si>
  <si>
    <t>2025-05-01</t>
  </si>
  <si>
    <t>株式会社パワーエックス（PX福島BESS1, 受付番号A61124161）</t>
  </si>
  <si>
    <t>福島県福島市小倉寺字中大巻5-1他</t>
  </si>
  <si>
    <t>黒岩線（延長。本文(c)より）</t>
  </si>
  <si>
    <t>【中止】/014_真庭市蒜山湯船615-3他（岡山県）_高圧蓄電所</t>
  </si>
  <si>
    <t>工事費負担金の総額 27.5百万円(消費税等相当額 2.5百万円を含む)、税抜25.0百万円（架空線24.7/計量0.3）。概算工事費の総額 27.8百万円(税込)。別紙「概算工事費及び工事費負担金の総額」より</t>
  </si>
  <si>
    <t>配電設備工事 11か月程度 ／ 混雑管理システム(ローカル系統) 運開時期は別途HP等でお知らせします。（契約手続き期間は含まず。工事費負担金入金後の期間）</t>
  </si>
  <si>
    <t>希望2026年6月8日。回答日＋配電設備工期11か月の単純計算で2026年4月頃（契約手続き期間は含まず）</t>
  </si>
  <si>
    <t>電柱3本／5本、高圧線958m／79m(AL-ACSR-L120mm2)、高圧引込線8m、開閉器2台(逆潮流対応型事故区間表示器)、電圧調整器1台(逆潮流対応II型SVR 5000kVA)、計量器2台・計器用変成器1台(200A)。黒岩線延長（高圧線新設、電柱新設・建替）、電圧調整器新設、高圧線張替、逆潮流対応型機器への取替</t>
  </si>
  <si>
    <t>ノンファーム型接続適用（基幹系統:別紙1-1グループ[福島4]、ローカル系統:なし）、再給電方式（一定の順序）、PCS力率一定制御 90%（有効出力1,998kW程度）、非認証PCSの実機試験成績書提出、出力制御設定の確認書類提出、書類不備による未検討項目あり（系統連系申込時に技術検討）、N-1電制本格適用、運用上の制約あり（作業停止時等の発電抑制・停止）</t>
  </si>
  <si>
    <t>状態: 進行中（対象フォルダ直下）。検討対象年度2023~2024年度。2回目の回答(A61125540, 2026-01-15)は「12_回答（2回目）※無効」フォルダにあるため、本行を集計対象とした。</t>
  </si>
  <si>
    <t>【中止】/015_真庭市蒜山湯船497-16（岡山県）_高圧蓄電所</t>
  </si>
  <si>
    <t>【接続検討回答書】No072_福島市小倉寺字中大巻5-1他（A61124161）.pdf</t>
  </si>
  <si>
    <t>03_電力/02_接続検討/04_回答/【接続検討回答書】No072_福島市小倉寺字中大巻5-1他（A61124161）.pdf</t>
  </si>
  <si>
    <t>2026-01-15</t>
  </si>
  <si>
    <t>2025-10-15</t>
  </si>
  <si>
    <t>株式会社パワーエックス（PX福島BESS1, 受付番号A61125540）</t>
  </si>
  <si>
    <t>工事費負担金の総額 57.6百万円(消費税等相当額 5.2百万円を含む)、税抜52.4百万円（架空線52.1/計量0.3）。概算工事費の総額 58.0百万円(税込)。別紙「概算工事費及び工事費負担金の総額」より</t>
  </si>
  <si>
    <t>【中止】/016_加美町菜切谷字青木原28-152（宮城県）_高圧蓄電所</t>
  </si>
  <si>
    <t>希望2026年6月8日。回答日＋配電設備工期24か月の単純計算で2028年1月頃（契約手続き期間は含まず）→希望日に間に合わず</t>
  </si>
  <si>
    <t>電柱3本／7本、高圧線958m／79m(AL-ACSR-L120mm2)、高圧引込線8m、開閉器2台(逆潮流対応型事故区間表示器)、電圧調整器1台(逆潮流対応II型SVR 5,000kVA)、計量器2台・計器用変成器1台(200A)。黒岩線延長（高圧線新設、電柱新設・建替）、河川横断個所の高圧線二回線化のため長尺ポールへ建替、電圧調整器新設、高圧線張替、逆潮流対応型機器への取替</t>
  </si>
  <si>
    <t>ノンファーム型接続適用（基幹系統:別紙1-1グループ[福島4]、ローカル系統:なし）、再給電方式（一定の順序）、PCS力率一定制御 92%、非認証PCSの実機試験成績書提出、出力制御設定の確認書類提出、早期連系追加対策(充電制限)は現時点不要、N-1電制本格適用、運用上の制約あり（作業停止時等の発電抑制・停止）</t>
  </si>
  <si>
    <t>状態: 進行中（対象フォルダ直下）。検討対象年度2024~2025年度。格納フォルダ名が「12_回答（2回目）※無効」（無効の理由は回答書本文からは不明）。ファイル名は「接続検討回答書」だが2回目の回答のため種別は再接続検討とした。河川横断の許可が得られない場合は工期・概算工事費が大幅変更の可能性。初回回答(A61124161, 2025-05-01)あり。</t>
  </si>
  <si>
    <t>【中止】/017_石巻市桃生町倉埣字人家36-1（宮城県）_高圧蓄電所</t>
  </si>
  <si>
    <t>03_電力/02_接続検討/12_回答（2回目）※無効/【接続検討回答書】No072_福島市小倉寺字中大巻5-1他（A61125540）.pdf</t>
  </si>
  <si>
    <t>073</t>
  </si>
  <si>
    <t>株式会社パワーエックス（PX六戸BESS1, 受付番号A13324073）</t>
  </si>
  <si>
    <t>青森県六戸町大字犬落瀬字四木62-1</t>
  </si>
  <si>
    <t>六戸変電所（1号変圧器を15MVA→20MVAへ更新。本文(c)より）</t>
  </si>
  <si>
    <t>【中止】/018_北杜市武川町黒澤1762-3（山梨県）_高圧蓄電所</t>
  </si>
  <si>
    <t>工事費負担金の総額 997.5百万円(消費税等相当額 90.7百万円を含む)、税抜906.8百万円（架空線63.4/変電設備803.0/計量0.3/一般負担の上限超過分40.1）。概算工事費の総額 1,090.1百万円(税込)。別紙「概算工事費及び工事費負担金の総額」より</t>
  </si>
  <si>
    <t>配電設備工事 48か月程度 ／ 変電設備工事 37か月程度 ／ 上位系統増強工事 53か月程度 ／ 混雑管理システム(ローカル系統) 運開時期は別途HP等でお知らせします。（契約手続き期間は含まず。工事費負担金入金後の期間）</t>
  </si>
  <si>
    <t>希望2026年6月8日。回答日＋配電設備工期48か月の単純計算で2029年5月頃（契約手続き期間は含まず）→希望日に間に合わず。変電設備工事 37か月程度、上位系統増強工事 53か月程度は別途</t>
  </si>
  <si>
    <t>電柱2本／27本、高圧線1,391m(AL-ACSR-L120mm2)、高圧引込線5m、柱上変圧器タップ変更14個所、電圧調整器1台(逆潮流対応II型SVR 5000kVA)、変圧器増強1台(15MVA→20MVA)、計量器2台・計器用変成器1台(200A)、上位系統増強工事1式（六戸(変)主要変圧器他）。高圧線張替・電柱建替、電圧調整器新設</t>
  </si>
  <si>
    <t>あり: 六戸(変)154/66kV主要変圧器3号増設工事(1台、100MVA)、六戸変電所1号変圧器更新(15MVA→20MVA)。上位系統増強工事53か月程度、変電設備工事37か月程度。変電設備工事の負担金概算803.0百万円、一般負担の上限超過分40.1百万円</t>
  </si>
  <si>
    <t>ノンファーム型接続適用（基幹系統:別紙1-1グループ[青森1]、ローカル系統:154kV南八戸線(0520)、154kV西八戸線(0521)、六戸変電所154/66kV主要変圧器(108)）、再給電方式（一定の順序）、PCS力率一定制御 89%（有効出力1,998kW程度）、非認証PCSの実機試験成績書提出、出力制御設定の確認書類提出、書類不備による未検討項目あり（系統連系申込時に技術検討）、N-1電制本格適用、運用上の制約あり（作業停止時等の発電抑制・停止）</t>
  </si>
  <si>
    <t>03_電力/02_接続検討/04_回答/【接続検討回答書】No073_六戸町大字犬落瀬字四木62-1（A13324073）.pdf</t>
  </si>
  <si>
    <t>074</t>
  </si>
  <si>
    <t>2025-06-04</t>
  </si>
  <si>
    <t>2025-03-05</t>
  </si>
  <si>
    <t>株式会社パワーエックス（PX階上BESS1, 受付番号A13124109）</t>
  </si>
  <si>
    <t>青森県階上町大字道仏字耳ケ吠1-15</t>
  </si>
  <si>
    <t>岩渕線（延長。本文(c)より）</t>
  </si>
  <si>
    <t>工事費負担金の総額 688.2百万円(消費税等相当額 62.6百万円を含む)、税抜625.6百万円（架空線128.8/地中線496.5/計量0.3）。概算工事費の総額 688.5百万円(税込)。別紙「概算工事費及び工事費負担金の総額」より</t>
  </si>
  <si>
    <t>配電設備工事 50か月程度 ／ 配電設備工事(自社工事) 2027年2月運開予定 ／ 混雑管理システム(ローカル系統) 運開時期は別途HP等でお知らせします。（契約手続き期間は含まず。工事費負担金入金後の期間）</t>
  </si>
  <si>
    <t>希望2026年7月6日。回答日＋配電設備工期50か月の単純計算で2029年8月頃（契約手続き期間は含まず）→希望日に間に合わず</t>
  </si>
  <si>
    <t>電柱129本／19本(共架事業者柱含む)、高圧線6,441m(AL-ACSR-L120mm2)、高圧引込線5m、B種接地改修22個所、電圧調整器3台(逆潮流対応II型SVR 3000kVA・サイリスタ型3000kVA)、管路2,293m(3条以下)、マンホール8個所(プレハブMH)、高圧ケーブル2,678m(CVT100mm2)、計量器2台・計器用変成器1台(200A)。岩渕線延長、緊急輸送道路等は地中線路、電圧調整器新設</t>
  </si>
  <si>
    <t>上位系統増強工事なし。別途、配電設備工事（自社工事）2027年2月運開予定</t>
  </si>
  <si>
    <t>ノンファーム型接続適用（基幹系統:別紙1-1グループ[青森1]、ローカル系統:154kV南八戸線(0520)、154kV西八戸線(0521)八戸変電所154/66kV主要変圧器(109)）、再給電方式（一定の順序）、PCS力率一定制御 93%（有効出力1,998kW程度）、非認証PCSの実機試験成績書提出、出力制御設定の確認書類提出、書類不備による未検討項目あり（系統連系申込時に技術検討）、N-1電制本格適用、運用上の制約あり（作業停止時等の発電抑制・停止）</t>
  </si>
  <si>
    <t>【中止】/019_韮崎市穂坂町宮久保5046-1他（山梨県）_高圧蓄電所</t>
  </si>
  <si>
    <t>【中止】/020_豊川市大木町新道100-4（愛知県）_高圧蓄電所</t>
  </si>
  <si>
    <t>03_電力/02_接続検討/04_回答/【接続検討回答書】No074_階上町大字道仏字耳ケ吠1-15（A13124109）.pdf</t>
  </si>
  <si>
    <t>075</t>
  </si>
  <si>
    <t>2025-06-05</t>
  </si>
  <si>
    <t>株式会社パワーエックス（PX南部BESS1, 受付番号A13124111）</t>
  </si>
  <si>
    <t>青森県南部町大字剣吉字蒼前上17-2</t>
  </si>
  <si>
    <t>【中止】/021_多気町土羽1217（三重県）_高圧蓄電所</t>
  </si>
  <si>
    <t>工事費負担金の総額 37.1百万円(消費税等相当額 3.4百万円を含む)、税抜33.7百万円（架空線33.4/計量0.3）。概算工事費の総額 37.4百万円(税込)。別紙「概算工事費及び工事費負担金の総額」より</t>
  </si>
  <si>
    <t>配電設備工事 16か月程度 ／ 混雑管理システム(ローカル系統) 運開時期は別途HP等でお知らせします。（契約手続き期間は含まず。工事費負担金入金後の期間）</t>
  </si>
  <si>
    <t>希望2026年7月6日。回答日＋配電設備工期16か月の単純計算で2026年10月頃（契約手続き期間は含まず）→希望日に間に合わず</t>
  </si>
  <si>
    <t>電柱1本、高圧線2,826m(AL-OC-L200mm2)、高圧引込線5m、柱上変圧器タップ変更1個所、電圧調整器1台(逆潮流対応II型SVR 5000kVA)、計量器2台・計器用変成器1台(200A)。許容電流超過の高圧線張替・自動電圧調整器取替、荷重超過の電柱建替</t>
  </si>
  <si>
    <t>ノンファーム型接続適用（基幹系統:別紙1-1グループ[青森1]、ローカル系統:154kV西八戸線(0521)、66kV馬渕線(1A3A)南八戸変電所154/66kV主要変圧器(110)）、再給電方式（一定の順序）、PCS力率一定制御 88%（有効出力1,998kW程度）、非認証PCSの実機試験成績書提出、出力制御設定の確認書類提出、書類不備による未検討項目あり（系統連系申込時に技術検討）、N-1電制本格適用、運用上の制約あり（作業停止時等の発電抑制・停止）</t>
  </si>
  <si>
    <t>状態: 中止。 回答一覧No50</t>
  </si>
  <si>
    <t>【中止】/023_太田市新田大根町1128-1（群馬県）_高圧蓄電所</t>
  </si>
  <si>
    <t>03_電力/02_接続検討/04_回答/【接続検討回答書】No075_南部町大字剣吉字蒼前上17-2（A13124111）.pdf</t>
  </si>
  <si>
    <t>077</t>
  </si>
  <si>
    <t>株式会社パワーエックス（PX階上BESS2, 受付番号A13124110）</t>
  </si>
  <si>
    <t>青森県階上町大字赤保内字西山12-1</t>
  </si>
  <si>
    <t>工事費負担金の総額 739.4百万円(消費税等相当額 67.2百万円を含む)、税抜672.2百万円（架空線206.9/地中線465.0/計量0.3）。概算工事費の総額 739.8百万円(税込)。別紙「概算工事費及び工事費負担金の総額」より</t>
  </si>
  <si>
    <t>配電設備工事 55か月程度 ／ 変電設備工事(自社工事) 2027年2月運開予定 ／ 混雑管理システム(ローカル系統) 運開時期は別途HP等でお知らせします。（契約手続き期間は含まず。工事費負担金入金後の期間）</t>
  </si>
  <si>
    <t>希望2026年7月6日。回答日＋配電設備工期55か月の単純計算で2030年1月頃（契約手続き期間は含まず）→希望日に間に合わず</t>
  </si>
  <si>
    <t>【中止】/024_太田市新田大根町1207-1他（群馬県）_高圧蓄電所</t>
  </si>
  <si>
    <t>電柱202本／40本(共架事業者柱含む)、高圧線9,703m(AL-ACSR-L120mm2)、高圧引込線16m、B種接地改修7個所、電圧調整器4台(逆潮流対応II型SVR 3000kVA・サイリスタ型3000kVA)、管路2,266m(3条以下)、マンホール4個所(プレハブMH)、高圧ケーブル2,296m(CVT100mm2)、計量器2台・計器用変成器1台(200A)。岩渕線延長、緊急輸送道路等は地中線路、電圧調整器新設</t>
  </si>
  <si>
    <t>上位系統増強工事なし。別途、変電設備工事（自社工事）2027年2月運開予定</t>
  </si>
  <si>
    <t>【中止】/025_中島村大字滑津字本法寺裏92-1（福島県）_高圧蓄電所</t>
  </si>
  <si>
    <t>03_電力/02_接続検討/04_回答/【接続検討回答書】No077_階上町大字赤保内字西山12-1（A13124110）.pdf</t>
  </si>
  <si>
    <t>083</t>
  </si>
  <si>
    <t>株式会社パワーエックス（PX八戸BESS1, 受付番号A13124112）</t>
  </si>
  <si>
    <t>青森県八戸市大字白銀町字佐部長根24-169</t>
  </si>
  <si>
    <t>【中止】/026_山元町山寺字石垣22-5（宮城県）_高圧蓄電所</t>
  </si>
  <si>
    <t>工事費負担金の総額 27.6百万円(消費税等相当額 2.5百万円を含む)、税抜25.1百万円（架空線24.8/計量0.3）。概算工事費の総額 27.9百万円(税込)。別紙「概算工事費及び工事費負担金の総額」より</t>
  </si>
  <si>
    <t>配電設備工事 14か月程度 ／ 変電設備工事(自社工事) 2027年2月運開予定 ／ 混雑管理システム(ローカル系統) 運開時期は別途HP等でお知らせします。（契約手続き期間は含まず。工事費負担金入金後の期間）</t>
  </si>
  <si>
    <t>希望2026年7月6日。回答日＋配電設備工期14か月の単純計算で2026年8月頃（契約手続き期間は含まず）→希望日に間に合わず。変電設備工事(自社工事) 2027年2月運開予定は別途</t>
  </si>
  <si>
    <t>電柱3本、高圧引込線15m(AL-ACSR-L120mm2)、開閉器2台(逆潮流対応型事故区間表示器)、柱上変圧器タップ変更103個所、電圧調整器1台(逆潮流対応II型SVR 5000kVA)、計量器2台・計器用変成器1台(200A)。電圧調整器新設（電柱新設）、逆潮流対応型機器への取替</t>
  </si>
  <si>
    <t>ノンファーム型接続適用（基幹系統:別紙1-1グループ[青森1]、ローカル系統:154kV南八戸線(0520)、154kV西八戸線(0521)、八戸変電所154/66kV主要変圧器(109)）、再給電方式（一定の順序）、PCS力率一定制御 89%（有効出力1,998kW程度）、非認証PCSの実機試験成績書提出、出力制御設定の確認書類提出、書類不備による未検討項目あり（系統連系申込時に技術検討）、N-1電制本格適用、運用上の制約あり（作業停止時等の発電抑制・停止）</t>
  </si>
  <si>
    <t>【中止】/027_川崎町大字前川字羽根坂山8-1（宮城県）_高圧蓄電所</t>
  </si>
  <si>
    <t>【中止】/028_山元町真庭字南新田14-1（宮城県）_高圧蓄電所</t>
  </si>
  <si>
    <t>03_電力/02_接続検討/04_回答/【接続検討回答書】No083_八戸市大字白銀町字佐部長根24-169（A13124112）.pdf</t>
  </si>
  <si>
    <t>087</t>
  </si>
  <si>
    <t>2025-07-18</t>
  </si>
  <si>
    <t>株式会社パワーエックス（PX陸前高田BESS1, 受付番号A22324067）</t>
  </si>
  <si>
    <t>岩手県陸前高田市米崎町字糠塚沢97-1</t>
  </si>
  <si>
    <t>工事費負担金の総額 4,951.9百万円(消費税等相当額 450.2百万円を含む)、税抜4,501.7百万円（架空線15.2/計量0.3/一般負担の上限超過分4,486.2）。概算工事費の総額 5,042.2百万円(税込)。別紙「概算工事費及び工事費負担金の総額」より</t>
  </si>
  <si>
    <t>配電設備工事 7か月程度 ／ 上位系統増強工事 8年程度 ／ 混雑管理システム(ローカル系統) 運開時期は別途HP等でお知らせします。（契約手続き期間は含まず。工事費負担金入金後の期間）</t>
  </si>
  <si>
    <t>希望2026年8月10日。回答日＋配電設備工期7か月の単純計算で2026年2月頃（契約手続き期間は含まず）。上位系統増強工事 8年程度は別途</t>
  </si>
  <si>
    <t>電柱1本、高圧線157m／138m(AL-ACSR-L120mm2)、高圧引込線15m、開閉器1台(逆潮流対応型事故区間表示器)、電圧調整器1台(逆潮流対応II型SVR 5000kVA)、計量器2台・計器用変成器1台(200A)、上位系統増強工事1式（水沢(変)主要変圧器）。配電線機器の逆潮流対応化、電圧調整器新設、高圧線張替、電柱建替（困難箇所は高圧線ルート変更）</t>
  </si>
  <si>
    <t>あり: 水沢(変)275/154kV主要変圧器(MT3)増設工事（充電側連系で運用容量超過のため）。上位系統増強工事8年程度。一般負担の上限超過分4,486.2百万円</t>
  </si>
  <si>
    <t>ノンファーム型接続適用（基幹系統:別紙1-1グループ[岩手3]、ローカル系統:なし）、再給電方式（一定の順序）、PCS力率一定制御 94%（有効出力1,998kW程度）、非認証PCSの実機試験成績書提出、出力制御設定の確認書類提出、書類不備による未検討項目あり（系統連系申込時に技術検討）、N-1電制本格適用、運用上の制約あり（作業停止時等の発電抑制・停止）</t>
  </si>
  <si>
    <t>状態: 中止（【中止】フォルダ内）。検討対象年度2023~2024年度。負担金は上位系統増強に係る一般負担の上限超過分を含むため極めて高額。</t>
  </si>
  <si>
    <t>【中止】/030_蔵王町宮字篤司95-3（宮城県）_高圧蓄電所</t>
  </si>
  <si>
    <t>【中止】/031_尾道市瀬戸田町林1181-3他（広島県）_高圧蓄電所</t>
  </si>
  <si>
    <t>03_電力/02_接続検討/04_回答/【接続検討回答書】No087_陸前高田市米崎町字糠塚沢97-1（A22324067）.pdf</t>
  </si>
  <si>
    <t>088</t>
  </si>
  <si>
    <t>株式会社パワーエックス（PX遠野BESS1, 受付番号A23524011）</t>
  </si>
  <si>
    <t>岩手県遠野市遠野町31地割47-1</t>
  </si>
  <si>
    <t>遠野変電所（2号変圧器が逆潮流。本文(c)より）</t>
  </si>
  <si>
    <t>【中止】/033_大崎市古川清水沢字高畑32-5（宮城県）</t>
  </si>
  <si>
    <t>工事費負担金の総額 1,075.7百万円(消費税等相当額 97.8百万円を含む)、税抜977.9百万円（架空線26.4/バンク逆潮流対策7.0/変電設備226.7/計量0.3/一般負担の上限超過分717.5）。概算工事費の総額 1,170.4百万円(税込)。別紙「概算工事費及び工事費負担金の総額」より</t>
  </si>
  <si>
    <t>配電設備工事 1年程度 ／ バンク逆潮流対策工事 1年5か月程度 ／ 上位系統増強工事 4年5か月程度 ／ 混雑管理システム(ローカル系統) 運開時期は別途HP等でお知らせします。（契約手続き期間は含まず。工事費負担金入金後の期間）</t>
  </si>
  <si>
    <t>希望2026年8月10日。回答日＋配電設備工期12か月の単純計算で2026年7月頃（契約手続き期間は含まず）。バンク逆潮流対策工事 1年5か月程度、上位系統増強工事 4年5か月程度は別途</t>
  </si>
  <si>
    <t>電柱4本、高圧引込線5m(AL-ACSR-L120mm2)、開閉器2箇所(逆潮流対応型事故区間表示器)、柱上変圧器タップ変更7箇所、電圧調整器2台(逆潮流対応II型SVR 5000kVA・サイリスタ型3000kVA)、バンク逆潮流対策1式(系統地絡検出リレー設置、変圧器盤・電調盤改造)、計量器2台・計器用変成器1台(200A)、上位系統増強工事1式（北上(変)主要変圧器）</t>
  </si>
  <si>
    <t>あり: 北上(変)154/66kV主要変圧器(MT2)容変工事(100MVA→150MVA)、遠野変電所2号変圧器バンク逆潮流対策。上位系統増強工事4年5か月程度、バンク逆潮流対策工事1年5か月程度。変電設備工事の負担金概算226.7百万円、一般負担の上限超過分717.5百万円</t>
  </si>
  <si>
    <t>ノンファーム型接続適用（基幹系統:別紙1-1グループ[岩手2]、ローカル系統:なし）、再給電方式（一定の順序）、PCS力率一定制御 86%（有効出力1,998kW程度）、非認証PCSの実機試験成績書提出、出力制御設定の確認書類提出、書類不備による未検討項目あり（系統連系申込時に技術検討）、N-1電制本格適用、運用上の制約あり（作業停止時等の発電抑制・停止）</t>
  </si>
  <si>
    <t>状態: 保留（【保留】フォルダ内）。検討対象年度2024~2025年度。負担金は上位系統増強に係る一般負担の上限超過分を含むため極めて高額。</t>
  </si>
  <si>
    <t>【中止】/034_大崎市岩出山字上川原町54-1他（宮城県）_高圧蓄電所</t>
  </si>
  <si>
    <t>03_電力/02_接続検討/04_回答/【接続検討回答書】No088_遠野市遠野町31地割47-1（A23524011）.pdf</t>
  </si>
  <si>
    <t>【中止】/035_二本松市馬場平96-5（福島県）_高圧蓄電所</t>
  </si>
  <si>
    <t>2026-03-23</t>
  </si>
  <si>
    <t>2025-12-23</t>
  </si>
  <si>
    <t>株式会社パワーエックス（PX遠野BESS1, 受付番号A23525414）</t>
  </si>
  <si>
    <t>工事費負担金の総額 8,083.9百万円(消費税等相当額 734.9百万円を含む)、税抜7,349.0百万円（架空線9.6/バンク逆潮流対策7.0/変電設備22.0/計量0.3/一般負担の上限超過分7,310.1）。概算工事費の総額 8,175.4百万円(税込)。別紙「概算工事費及び工事費負担金の総額」より</t>
  </si>
  <si>
    <t>配電設備工事 7か月程度 ／ バンク逆潮流対策工事 1年5か月程度 ／ 上位系統増強工事 7年3か月程度 ／ 混雑管理システム(ローカル系統) 運開時期は別途HP等でお知らせします。（契約手続き期間は含まず。工事費負担金入金後の期間）</t>
  </si>
  <si>
    <t>希望2027年4月12日。回答日＋配電設備工期7か月の単純計算で2026年10月頃（契約手続き期間は含まず）。バンク逆潮流対策工事 1年5か月程度、上位系統増強工事 7年3か月程度は別途</t>
  </si>
  <si>
    <t>【中止】/036_大崎市鹿島台広長字無清水21-1（宮城県）_高圧蓄電所</t>
  </si>
  <si>
    <t>電柱1本／1本、高圧引込線6m(AL-ACSR-L120mm2)、開閉器1箇所(逆潮流対応型事故区間表示器)、柱上変圧器タップ変更3箇所、電圧調整器1箇所(逆潮流対応II型SVR 3000kVA)、バンク逆潮流対策1式(系統地絡検出リレー設置、変圧器盤・電調盤改造)、計量器2台・計器用変成器1台(200A)、上位系統増強工事1式（岩手(変)主要変圧器）</t>
  </si>
  <si>
    <t>あり: 岩手(変)275/154kV主要変圧器(MT4、5)取替工事(300MVA→300MVA)、同LA(避雷器)移設工事、遠野変電所2号変圧器バンク逆潮流対策。上位系統増強工事7年3か月程度、バンク逆潮流対策工事1年5か月程度。変電設備工事の負担金概算22.0百万円、一般負担の上限超過分7,310.1百万円</t>
  </si>
  <si>
    <t>ノンファーム型接続適用（基幹系統:別紙1-1グループ[岩手2]、ローカル系統:なし）、再給電方式（一定の順序）、PCS力率一定制御 88%、非認証PCSの実機試験成績書提出、出力制御設定の確認書類提出、早期連系追加対策(充電制限)は適用不可、N-1電制本格適用、運用上の制約あり（作業停止時等の発電抑制・停止）</t>
  </si>
  <si>
    <t>状態: 保留（【保留】フォルダ内）。検討対象年度2024~2025年度。負担金は上位系統増強に係る一般負担の上限超過分を含むため極めて高額。格納フォルダは「12_回答（2回目）」。ファイル名は「接続検討回答書」だが2回目の回答のため種別は再接続検討とした。初回回答(A23524011, 2025-07-18)あり。本文は「別紙3のとおり」だが負担金の表は別紙4。</t>
  </si>
  <si>
    <t>【中止】/037_村田町大字村田字金谷125（宮城県）_高圧蓄電所</t>
  </si>
  <si>
    <t>03_電力/02_接続検討/12_回答（2回目）/【接続検討回答書】No088_遠野市遠野町31地割47-1（A23525414）.pdf</t>
  </si>
  <si>
    <t>089</t>
  </si>
  <si>
    <t>【中止】/039_相馬市立谷字北山243（福島県）_高圧蓄電所</t>
  </si>
  <si>
    <t>株式会社パワーエックス（PX盛岡BESS1, 受付番号A21124158）</t>
  </si>
  <si>
    <t>岩手県盛岡市下田字仲平182-1</t>
  </si>
  <si>
    <t>県立大学線（延長。本文(c)より）</t>
  </si>
  <si>
    <t>工事費負担金の総額 168.0百万円(消費税等相当額 15.3百万円を含む)、税抜152.7百万円（架空線14.6/地中線137.8/計量0.3）。概算工事費の総額 168.3百万円(税込)。別紙「概算工事費及び工事費負担金の総額」より</t>
  </si>
  <si>
    <t>希望2026年8月10日。回答日＋配電設備工期24か月の単純計算で2027年7月頃（契約手続き期間は含まず）→希望日に間に合わず</t>
  </si>
  <si>
    <t>電柱23本、高圧線886m(AL-ACSR-L120mm2)、高圧引込線5m、B種接地改修79箇所、管路591m、高圧ケーブル615m(CVT100mm2)、計量器2台・計器用変成器1台(200A)。県立大学線延長（高圧線新設・電柱新設）、緊急輸送道路等は地中線路</t>
  </si>
  <si>
    <t>ノンファーム型接続適用（基幹系統:別紙1-1グループ[岩手1]、ローカル系統:154kV姫神線(0530)、154kV盛岡線(0535)、66kV渋民線(223A)）、再給電方式（一定の順序）、PCS力率一定制御 85%（有効出力1,998kW程度）、非認証PCSの実機試験成績書提出、出力制御設定の確認書類提出、書類不備による未検討項目あり（系統連系申込時に技術検討）、N-1電制本格適用、運用上の制約あり（作業停止時等の発電抑制・停止）</t>
  </si>
  <si>
    <t>状態: 保留（【保留】フォルダ内）。検討対象年度2024~2025年度。</t>
  </si>
  <si>
    <t>【中止】/041_二本松市岳東町5-3他（福島県）_高圧蓄電所</t>
  </si>
  <si>
    <t>【中止】/042_本宮市糠沢字堀ノ内43（福島県）_高圧蓄電所</t>
  </si>
  <si>
    <t>03_電力/02_接続検討/04_回答/【接続検討回答書】No089_盛岡市下田字仲平182-1（A21124158）.pdf</t>
  </si>
  <si>
    <t>090</t>
  </si>
  <si>
    <t>株式会社パワーエックス（PX八幡平BESS2, 受付番号A21125409）</t>
  </si>
  <si>
    <t>岩手県八幡平市松尾寄木第13地割391</t>
  </si>
  <si>
    <t>柏台変電所（1号変圧器のバンク逆潮流対策。本文(c)より）</t>
  </si>
  <si>
    <t>工事費負担金の総額 52.0百万円(消費税等相当額 4.7百万円を含む)、税抜47.3百万円（架空線40.0/バンク逆潮流対策7.0/計量0.3）。概算工事費の総額 52.4百万円(税込)。別紙「概算工事費及び工事費負担金の総額」より</t>
  </si>
  <si>
    <t>【中止】/043_福島市北矢野目字台田12-3他（福島県）_高圧蓄電所</t>
  </si>
  <si>
    <t>配電設備工事 1年9か月程度 ／ バンク逆潮流対策工事 2026年12月運開予定 ／ 混雑管理システム(ローカル系統) 運開時期は別途HP等でお知らせします。（契約手続き期間は含まず。工事費負担金入金後の期間）</t>
  </si>
  <si>
    <t>希望2026年9月7日。回答日＋配電設備工期21か月の単純計算で2027年5月頃（契約手続き期間は含まず）→希望日に間に合わず</t>
  </si>
  <si>
    <t>電柱13本(コンクリート柱)、高圧線38m／3,086m(AL-ACSR-L120mm2／AL-OC-L200mm2)、高圧引込線12m、B種接地改修122箇所、バンク逆潮流対策1式(系統地絡検出リレー設置、変圧器盤・電調盤改造)、計量器2台・計器用変成器1台(200A)。高圧線延長・張替、電柱建替、電圧調整器新設・柱上変圧器タップ変更</t>
  </si>
  <si>
    <t>上位系統増強工事なし。バンク逆潮流対策工事あり（柏台変電所1号変圧器。先行他社申込みによる対策後の設備を使用するため対策費用を負担、負担金概算7.0百万円、2026年12月運開予定）</t>
  </si>
  <si>
    <t>ノンファーム型接続適用（基幹系統:別紙1-1グループ[岩手1]、ローカル系統:154kV姫神線(0530),154kV盛岡線(0535),66kV渋民線(223A)66kV沼宮内線(223E),66kV好摩支線(223F)）、再給電方式（一定の順序）、PCS力率一定制御 85%（有効出力1,998.00kW程度）、非認証PCSの実機試験成績書提出、出力制御設定の確認書類提出、書類不備による未検討項目あり（系統連系申込時に技術検討）、早期連系追加対策(充電制限)は現時点不要、N-1電制本格適用、運用上の制約あり（作業停止時等の発電抑制・停止）、前提条件: 先行する他発電設備が連系すること</t>
  </si>
  <si>
    <t>【中止】/050_相馬市椎木字北原375-5（福島県）_高圧蓄電所</t>
  </si>
  <si>
    <t>03_電力/02_接続検討/04_回答/【接続検討回答書】No090_八幡平市松尾寄木第13地割391（A21125409）.pdf</t>
  </si>
  <si>
    <t>093</t>
  </si>
  <si>
    <t>2025-08-26</t>
  </si>
  <si>
    <t>【中止】/051_亘理町長瀞字河原118-1（宮城県）_高圧蓄電所</t>
  </si>
  <si>
    <t>2025-05-27</t>
  </si>
  <si>
    <t>株式会社パワーエックス（PX八戸BESS2, 受付番号A13125405）</t>
  </si>
  <si>
    <t>青森県八戸市大字櫛引字烏館場1-1</t>
  </si>
  <si>
    <t>工事費負担金の総額 17.6百万円(消費税等相当額 1.6百万円を含む)、税抜16.0百万円（架空線15.7/計量0.3）。概算工事費の総額 17.9百万円(税込)。別紙「概算工事費及び工事費負担金の総額」より</t>
  </si>
  <si>
    <t>配電設備工事 1年1か月程度 ／ 混雑管理システム(ローカル系統) 運開時期は別途HP等でお知らせします。（契約手続き期間は含まず。工事費負担金入金後の期間）</t>
  </si>
  <si>
    <t>希望2026年9月7日。回答日＋配電設備工期13か月の単純計算で2026年9月頃（契約手続き期間は含まず）</t>
  </si>
  <si>
    <t>電柱2本、高圧線740m(AL-ACSR-L120mm2／AL-OC-L200mm2)、高圧引込線15m、柱上変圧器タップ変更35個所、電圧調整器1台(逆潮流対応II型SVR 5,000kVA)、計量器2台・計器用変成器1台(200A)。許容電流超過の高圧線張替・電圧調整器取替、荷重超過の電柱建替</t>
  </si>
  <si>
    <t>ノンファーム型接続適用（基幹系統:別紙1-1グループ[青森1]、ローカル系統:154kV西八戸線(0521)、南八戸変電所154/66kV主要変圧器(110)）、再給電方式（一定の順序）、PCS力率一定制御 94%（有効出力1,998.00kW程度）、非認証PCSの実機試験成績書提出、出力制御設定の確認書類提出、書類不備による未検討項目あり（系統連系申込時に技術検討）、早期連系追加対策(充電制限)は現時点不要、N-1電制本格適用、運用上の制約あり（作業停止時等の発電抑制・停止）</t>
  </si>
  <si>
    <t>状態: 進行中（対象フォルダ直下）。検討対象年度2024~2025年度。</t>
  </si>
  <si>
    <t>【中止】/053_岩泉町岩泉字新町35他（岩手県）_高圧蓄電所</t>
  </si>
  <si>
    <t>【中止】/057_雫石町中黒沢川191-43（岩手県）_高圧蓄電所</t>
  </si>
  <si>
    <t>【接続検討回答書】No093_八戸市大字櫛引字烏館場1-1（A13125405）.pdf</t>
  </si>
  <si>
    <t>03_電力/02_接続検討/04_回答/【接続検討回答書】No093_八戸市大字櫛引字烏館場1-1（A13125405）.pdf</t>
  </si>
  <si>
    <t>097</t>
  </si>
  <si>
    <t>2025-06-10</t>
  </si>
  <si>
    <t>株式会社パワーエックス（PX御前崎BESS1, 受付番号AAD240655239）</t>
  </si>
  <si>
    <t>静岡県御前崎市比木1725-1</t>
  </si>
  <si>
    <t>佐倉変電所</t>
  </si>
  <si>
    <t>佐倉変電所F22 61タ211より分岐</t>
  </si>
  <si>
    <t>【中止】/058_宮古市津軽石第20地割24-1（岩手県）_高圧蓄電所</t>
  </si>
  <si>
    <t>工事費負担金の総額 73,276.4千円(消費税相当額 6,661.5千円を含む)、税抜66,614.9千円（架空線工事66,462.9/計量設備工事152.0）。概算工事費の総額も同額</t>
  </si>
  <si>
    <t>工事費負担金の入金後 22ヶ月程度（契約手続き期間は含まず。別紙4「所要工期について」の工程表は架空線・計器・上位系統で〜24カ月）</t>
  </si>
  <si>
    <t>希望2026年10月5日。回答日＋工期22か月の単純計算で2027年7月頃（契約手続き期間は含まず）→希望日に間に合わず</t>
  </si>
  <si>
    <t>電柱新設21本、高圧線新設984m・張替4,157m・撤去984m、高圧引込線18m(OCW-60mm2)、開閉器新設22台・撤去15台、電圧調整器新設2台・取替2台、計量器1台・計器用変成器1台。高圧線の太線化、開閉器取替、電柱建替、電圧調整器取付</t>
  </si>
  <si>
    <t>上位系統増強工事なし（対象設備表は空欄。別紙4の工程表に上位系統の現場調査・設計／工事施工の行あり）</t>
  </si>
  <si>
    <t>ノンファーム型接続適用、再給電方式（上位2電圧500kV・275kV、一定の順序）、PCS力率一定制御（放電時96%遅れ／充電時100%）、変圧器励磁突入電流による瞬時電圧変動対策要、出力変化速度0→100%で5秒以上（ステップ10%以下／ランプ20%/秒以下）、電力品質対策・保護装置は実機試験データで確認、運用上の制約なし、N-1電制本格適用</t>
  </si>
  <si>
    <t>状態: 保留（【保留】フォルダ内）。系統連系保証金3,663千円(消費税等相当額333千円を含む)。検討対象年度2025年度。別紙1〜5は別ファイル。同フォルダ[OLD]に差替前の回答書あり（行にしていない）。(5)力率の欄は「〇〇%」表記、電圧変動対策欄の96%を採用。</t>
  </si>
  <si>
    <t>【中止】/060_三春町字深田和268（福島県）_高圧蓄電所</t>
  </si>
  <si>
    <t>【中止】/062_飯舘村臼石字田尻84-1（福島県）_高圧蓄電所</t>
  </si>
  <si>
    <t>03_電力/02_接続検討/04_回答/【接続検討回答書】No097_御前崎市比木1725-1（AAD240655239）.pdf</t>
  </si>
  <si>
    <t>099</t>
  </si>
  <si>
    <t>2025-09-10</t>
  </si>
  <si>
    <t>株式会社パワーエックス（PX八戸BESS3, 受付番号A13125435）</t>
  </si>
  <si>
    <t>青森県八戸市大字白銀町字佐部長根24-86</t>
  </si>
  <si>
    <t>灯台線（延長。本文(c)より）</t>
  </si>
  <si>
    <t>【中止】/063_喜多方市上三宮町上三宮字村東三3906（福島県）_高圧蓄電所</t>
  </si>
  <si>
    <t>工事費負担金の総額 30.9百万円(消費税等相当額 2.8百万円を含む)、税抜28.1百万円（架空線27.8/計量0.3）。概算工事費の総額 31.2百万円(税込)。別紙「概算工事費及び工事費負担金の総額」より</t>
  </si>
  <si>
    <t>配電設備工事 10か月程度 ／ 変電設備工事(負担金対象外) 2027年2月運開予定(自社工事) ／ 混雑管理システム(ローカル系統) 運開時期は別途HP等でお知らせします。（契約手続き期間は含まず。工事費負担金入金後の期間）</t>
  </si>
  <si>
    <t>希望2026年10月5日。回答日＋配電設備工期10か月の単純計算で2026年7月頃（契約手続き期間は含まず）。変電設備工事(負担金対象外) 2027年2月運開予定(自社工事)は別途</t>
  </si>
  <si>
    <t>電柱2本／3本(共架事業者柱含む)、高圧線45m(AL-ACSR-L120mm2)、高圧引込線10m、開閉器1台／2台(逆潮流対応型事故区間表示器・遠制開閉器)、柱上変圧器タップ変更105個所、電圧調整器1台(逆潮流対応II型SVR 5,000kVA)、計量器2台・計器用変成器1台(200A)。灯台線延長（高圧線新設・電柱建替）、電圧調整器新設、逆潮流対応型機器・遠制開閉器への取替</t>
  </si>
  <si>
    <t>上位系統増強工事なし。別途、変電設備工事（負担金対象外・自社工事）2027年2月運開予定</t>
  </si>
  <si>
    <t>ノンファーム型接続適用（基幹系統:別紙1-1グループ[青森1]、ローカル系統:154kV南八戸線(0520)154kV西八戸線(0521)八戸変電所154/66kV主要変圧器(109)）、再給電方式（一定の順序）、PCS力率一定制御 88%（有効出力1,998.00kW程度）、非認証PCSの実機試験成績書提出、出力制御設定の確認書類提出、書類不備による未検討項目あり（系統連系申込時に技術検討）、早期連系追加対策(充電制限)は現時点不要、N-1電制本格適用、運用上の制約あり（作業停止時等の発電抑制・停止）</t>
  </si>
  <si>
    <t>【中止】/064_利府町菅谷字鐘撞堂1-1（宮城県）_高圧蓄電所</t>
  </si>
  <si>
    <t>03_電力/02_接続検討/04_回答/【接続検討回答書】No099_八戸市大字白銀町字佐部長根24-86（A13125435）.pdf</t>
  </si>
  <si>
    <t>2026-02-04</t>
  </si>
  <si>
    <t>2025-11-04</t>
  </si>
  <si>
    <t>株式会社パワーエックス（PX八戸BESS3, 受付番号A13125553）</t>
  </si>
  <si>
    <t>鮫線（延長。本文(c)より）</t>
  </si>
  <si>
    <t>工事費負担金の総額 4,120.7百万円(消費税等相当額 374.6百万円を含む)、税抜3,746.1百万円（架空線48.7/計量0.3/一般負担の上限超過分3,697.1）。概算工事費の総額 4,211.1百万円(税込)。別紙「概算工事費及び工事費負担金の総額」より</t>
  </si>
  <si>
    <t>配電設備工事 1年4か月程度 ／ 上位系統増強工事 7年6か月程度 ／ 混雑管理システム(ローカル系統) 運開時期は別途HP等でお知らせします。（契約手続き期間は含まず。工事費負担金入金後の期間）</t>
  </si>
  <si>
    <t>希望2026年10月5日。回答日＋配電設備工期16か月の単純計算で2027年6月頃（契約手続き期間は含まず）→希望日に間に合わず。上位系統増強工事 7年6か月程度は別途</t>
  </si>
  <si>
    <t>【中止】/066_蔵王町宮字上原田101-14（宮城県）_高圧蓄電所</t>
  </si>
  <si>
    <t>電柱2本／25本(共架事業者柱含む)、高圧線976m(AL-ACSR-L120mm2)、高圧引込線10m、電圧調整器1台(逆潮流対応II型SVR 3,000kVA)、計量器2台・計器用変成器1台(200A)、上位系統増強工事1式（青森(変)主要変圧器）。鮫線延長（高圧線新設・電柱建替）、電圧調整器新設</t>
  </si>
  <si>
    <t>あり: 青森(変)275/154kV主要変圧器(MT3)増設（充電側連系で運用容量超過のため）。上位系統増強工事7年6か月程度。一般負担の上限超過分3,697.1百万円</t>
  </si>
  <si>
    <t>ノンファーム型接続適用（基幹系統:別紙1-1グループ[青森1]、ローカル系統:154kV南八戸線(0520)154kV西八戸線(0521)八戸変電所154/66kV主要変圧器(109)）、再給電方式（一定の順序）、PCS力率一定制御 86%、非認証PCSの実機試験成績書提出、出力制御設定の確認書類提出、早期連系追加対策(充電制限)は適用不可、N-1電制本格適用、運用上の制約あり（作業停止時等の発電抑制・停止）、前提条件: 先行する他発電設備が連系すること</t>
  </si>
  <si>
    <t>状態: 保留（【保留】フォルダ内）。検討対象年度2024~2025年度。負担金は上位系統増強に係る一般負担の上限超過分を含むため極めて高額。初回回答(A13125435, 2025-09-10)からの再接続検討。共架事業者電柱に特殊な電柱が含まれ、詳細設計で工期・工事費が大幅増の可能性。</t>
  </si>
  <si>
    <t>【中止】/067_階上町大字角柄折字猿引5（青森県）_高圧蓄電所</t>
  </si>
  <si>
    <t>03_電力/02_接続検討/12_回答（2回目）/【再接続検討回答書】No099_八戸市大字白銀町字佐部長根24-86（A13125553）.pdf</t>
  </si>
  <si>
    <t>105</t>
  </si>
  <si>
    <t>2025-09-09</t>
  </si>
  <si>
    <t>株式会社パワーエックス（PX新地BESS2, 受付番号A61225449）</t>
  </si>
  <si>
    <t>福島県新地町谷地小屋字南狼沢2-2</t>
  </si>
  <si>
    <t>埒崎線（延長。本文(c)より）</t>
  </si>
  <si>
    <t>工事費負担金の総額 130.8百万円(消費税等相当額 11.9百万円を含む)、税抜118.9百万円（架空線118.6/計量0.3）。概算工事費の総額 188.2百万円(税込)。別紙「概算工事費及び工事費負担金の総額」より</t>
  </si>
  <si>
    <t>配電設備工事 4年10か月程度 ／ 上位系統増強工事 2年5か月程度 ／ 混雑管理システム(ローカル系統) 運開時期は別途HP等でお知らせします。（契約手続き期間は含まず。工事費負担金入金後の期間）</t>
  </si>
  <si>
    <t>希望2026年10月5日。回答日＋配電設備工期58か月の単純計算で2030年7月頃（契約手続き期間は含まず）→希望日に間に合わず</t>
  </si>
  <si>
    <t>電柱20本／86本、高圧線6,249m(AL-ACSR-L120mm2)、高圧引込線20m、柱上変圧器タップ変更6箇所、電圧調整器2台(逆潮流対応II型SVR 3,000kVA・5,000kVA)、計量器2台・計器用変成器1台(200A)、上位系統増強工事1式（154kV新駒線2号増強）。埒崎線延長（高圧線新設、電柱新設・建替）、電圧調整器新設</t>
  </si>
  <si>
    <t>ノンファーム型接続適用（基幹系統:別紙1-1グループ[福島2]、ローカル系統:154kV新駒線(0624)、駒ヶ嶺変電所154/66kV主要変圧器(612)）、再給電方式（一定の順序）、PCS力率一定制御 91%（有効出力1,930kW程度）、非認証PCSの実機試験成績書提出、出力制御設定の確認書類提出、書類不備による未検討項目あり（系統連系申込時に技術検討）、早期連系追加対策(充電制限)は適用不可、N-1電制本格適用、運用上の制約あり（作業停止時等の発電抑制・停止）</t>
  </si>
  <si>
    <t>【中止】/068_南部町大字剣吉字蒼前上17-1（青森県）_高圧蓄電所</t>
  </si>
  <si>
    <t>03_電力/02_接続検討/04_回答/【接続検討回答書】No105_新地町谷地小屋字南狼沢2-2（A61225449）.pdf</t>
  </si>
  <si>
    <t>106</t>
  </si>
  <si>
    <t>2025-12-01</t>
  </si>
  <si>
    <t>2025-09-11</t>
  </si>
  <si>
    <t>株式会社パワーエックス（PX磐田BESS1, 受付番号AAD241604839）</t>
  </si>
  <si>
    <t>静岡県磐田市社山493-18</t>
  </si>
  <si>
    <t>新平山変電所</t>
  </si>
  <si>
    <t>新平山変電所F35 54エ191より分岐（本文(b)では「新平山変電所FF26」と記載）</t>
  </si>
  <si>
    <t>工事費負担金の総額 5,144.7千円(消費税相当額 467.7千円を含む)、税抜4,677.0千円（架空線工事4,525.0/計量設備工事152.0）。概算工事費の総額も同額</t>
  </si>
  <si>
    <t>【中止】/069_南部町大字剣吉字堰合4-3（青森県）_高圧蓄電所</t>
  </si>
  <si>
    <t>工事費負担金の入金後 12ヶ月程度（契約手続き期間は含まず。別紙4「所要工期について」の工程表は架空線・計器・上位系統で〜12カ月）</t>
  </si>
  <si>
    <t>希望2027年1月11日。回答日＋工期12か月の単純計算で2026年12月頃（契約手続き期間は含まず）</t>
  </si>
  <si>
    <t>電柱建替8本、高圧線新設399m、高圧引込線15m(OCW-60mm2)、開閉器新設1台、計量器1台・計器用変成器1台。既設高圧線の容量不足のため高圧線新設、電柱建替</t>
  </si>
  <si>
    <t>上位系統増強工事なし（対象設備表は空欄）</t>
  </si>
  <si>
    <t>ノンファーム型接続適用、再給電方式（一定の順序）、PCS力率一定制御（放電時98%遅れ／充電時100%）、出力変化速度0→100%で5秒以上（ステップ10%以下／ランプ20%/秒以下）、電力品質対策・保護装置は実機試験データで確認、運用上の制約なし</t>
  </si>
  <si>
    <t>状態: 保留（【保留】フォルダ内）。系統連系保証金257千円(消費税等相当額23.3千円を含む)。検討対象年度2025年度。同じ受付番号で2回目の回答(2026-05-11、「12_回答（2回目）」フォルダ)あり。同じ回答書の写しが03_系統連系/02_作成/添付書類にもある（行にしていない）。</t>
  </si>
  <si>
    <t>【中止】/076_三沢市古間木1丁目113-1他（青森県）_高圧蓄電所</t>
  </si>
  <si>
    <t>03_電力/02_接続検討/04_回答/【接続検討回答書】No106_磐田市社山493-18（AAD241604839）.pdf</t>
  </si>
  <si>
    <t>2026-05-11</t>
  </si>
  <si>
    <t>2026-02-12</t>
  </si>
  <si>
    <t>静岡県磐田市社山493-14</t>
  </si>
  <si>
    <t>新平山変電所（配電用変電所の変圧器取替が必要）</t>
  </si>
  <si>
    <t>新平山変電所F26 54エ192より分岐</t>
  </si>
  <si>
    <t>工事費負担金の総額 325,144.0千円(消費税相当額 29,558.6千円を含む)、税抜295,585.5千円（架空線工事344.9/計量設備工事158.6/その他77,305.0/一般負担の上限額超過分217,777.0）。概算工事費の総額 415,253.8千円(税込)</t>
  </si>
  <si>
    <t>工事費負担金の入金後 42ヶ月程度（契約手続き期間は含まず。別紙4「所要工期について」の工程表は変電所工事・配電架空線工事・計器・上位系統で〜42カ月）</t>
  </si>
  <si>
    <t>希望2027年1月11日。回答日＋工期42か月の単純計算で2029年11月頃（契約手続き期間は含まず）→希望日に間に合わず</t>
  </si>
  <si>
    <t>高圧引込線20m(OCW-60mm2)、開閉器新設1台、計量器1台・計器用変成器1台、上位系統増強工事1式（配電用変電所の変圧器取替工事）</t>
  </si>
  <si>
    <t>あり: 配電用変電所（新平山変電所）の変圧器取替工事（貴社連系による負荷電流の増加で変圧器が許容値を超過するため）。その他77,305.0千円＋一般負担の上限額超過分217,777.0千円</t>
  </si>
  <si>
    <t>ノンファーム型接続適用、再給電方式（一定の順序）、PCS力率一定制御（放電時99%遅れ／充電時100%）、出力変化速度0→100%で5秒以上（ステップ10%以下／ランプ20%/秒以下）、電力品質対策・保護装置は実機試験データで確認、運用上の制約なし</t>
  </si>
  <si>
    <t>【中止】/078_七尾市細口町マイダリ山200-22（石川県）_高圧蓄電所</t>
  </si>
  <si>
    <t>状態: 保留（【保留】フォルダ内）。系統連系保証金16,257千円(消費税等相当額1,477.9千円を含む)。検討対象年度2025年度。格納フォルダは「12_回答（2回目）」で、受付番号は1回目(2025-12-01回答)と同じAAD241604839（申込受付日は2026年2月12日）。ファイル名は「接続検討回答書」だが2回目の回答のため種別は再接続検討とした。発電場所は本文「社山493-14」、1回目・フォルダ名は「社山493-18」。</t>
  </si>
  <si>
    <t>【中止】/079_大台町栃原995（三重県）_高圧蓄電所</t>
  </si>
  <si>
    <t>03_電力/02_接続検討/12_回答（2回目）/【接続検討回答書】No106_磐田市社山493-18（AAD241604839）.pdf</t>
  </si>
  <si>
    <t>108</t>
  </si>
  <si>
    <t>株式会社パワーエックス（PX八戸BESS4, 受付番号A13125446）</t>
  </si>
  <si>
    <t>青森県八戸市大字大久保字大山79-19</t>
  </si>
  <si>
    <t>工事費負担金の総額 346.0百万円(消費税等相当額 31.5百万円を含む)、税抜314.5百万円（架空線57.9/地中線256.3/計量0.3）。概算工事費の総額 346.3百万円(税込)。別紙「概算工事費及び工事費負担金の総額」より</t>
  </si>
  <si>
    <t>配電設備工事 2年7か月程度 ／ 変電設備工事(負担金対象外) 2027年2月運開予定 ／ 混雑管理システム(ローカル系統) 運開時期は別途HP等でお知らせします。（契約手続き期間は含まず。工事費負担金入金後の期間）</t>
  </si>
  <si>
    <t>希望2026年11月9日。回答日＋配電設備工期31か月の単純計算で2028年4月頃（契約手続き期間は含まず）→希望日に間に合わず</t>
  </si>
  <si>
    <t>電柱72本／10本(共架事業者柱含む)、高圧線3,251m(AL-ACSR-L120mm2)、高圧引込線12m、B種接地改修26個所、電圧調整器1台(逆潮流対応II型SVR 3000kVA)、管路1,157m(3条以下)、マンホール3個所(プレハブMH)、高圧ケーブル1,247m(CVT100mm2)、計量器2台・計器用変成器1台(200A)。岩渕線延長、離隔確保困難箇所は地中線路、電圧調整器新設</t>
  </si>
  <si>
    <t>上位系統増強工事なし。別途、変電設備工事（負担金対象外）2027年2月運開予定</t>
  </si>
  <si>
    <t>ノンファーム型接続適用（基幹系統:別紙1-1グループ[青森1]、ローカル系統:154kV南八戸線(0520)154kV西八戸線(0521)八戸変電所154/66kV主要変圧器(109)）、再給電方式（一定の順序）、PCS力率一定制御 85%（有効出力1,998kW程度）、非認証PCSの実機試験成績書提出、出力制御設定の確認書類提出、書類不備による未検討項目あり（系統連系申込時に技術検討）、早期連系追加対策(充電制限)は現時点不要、N-1電制本格適用、運用上の制約あり（作業停止時等の発電抑制・停止）</t>
  </si>
  <si>
    <t>【中止】/080_名張市瀬古口9-1（三重県）_高圧蓄電所</t>
  </si>
  <si>
    <t>03_電力/02_接続検討/04_回答/【接続検討回答書】No108_八戸市大字大久保字大山79-19（A13125446）.pdf</t>
  </si>
  <si>
    <t>110</t>
  </si>
  <si>
    <t>2025-07-25</t>
  </si>
  <si>
    <t>株式会社パワーエックス（PX佐久BESS1, 受付番号AAD522735200）</t>
  </si>
  <si>
    <t>長野県佐久市布施2200-1</t>
  </si>
  <si>
    <t>三岡変電所</t>
  </si>
  <si>
    <t>三岡変電所F16 03モ461(最寄)より分岐</t>
  </si>
  <si>
    <t>【中止】/081_岐阜市大字太郎丸1939-1（岐阜県）_高圧蓄電所</t>
  </si>
  <si>
    <t>工事費負担金の総額 77,313.8千円(消費税相当額 7,028.5千円を含む)、税抜70,285.3千円（架空線工事68,716.4/地中線工事1,416.9/計量設備工事152.0）。概算工事費の総額も同額</t>
  </si>
  <si>
    <t>工事費負担金の入金後 24ヶ月程度（契約手続き期間は含まず。詳細の工期は別紙「所要工期について」参照）</t>
  </si>
  <si>
    <t>希望2026年12月7日。回答日＋工期24か月の単純計算で2027年10月頃（契約手続き期間は含まず）→希望日に間に合わず</t>
  </si>
  <si>
    <t>電柱新設8本・建替56本、高圧線新設254m・張替5,776m・撤去134m(OC-W60mm2 送電容量240A)、開閉器新設26台・撤去26台、電圧調整器新設2台・撤去2台、高圧ケーブル張替66m、計量器1台・計器用変成器1台</t>
  </si>
  <si>
    <t>ノンファーム型接続適用（出力制御量に影響を与える主な設備: 信濃変電所500/275kV変圧器）、再給電方式（一定の順序）、早期連系追加対策(充電制限)は現時点不要、力率一定制御（充電時100%・放電時95%）、出力変化速度0→100%で5秒以上、並列時許容周波数・電力品質(EMC試験結果)・保護装置(OVGR動作時の遮断時間)・保安通信用電話設備(連絡体制)は資料提出要、運用上の制約あり（三岡変電所の作業停止時等）</t>
  </si>
  <si>
    <t>状態: 保留（【保留】フォルダ内）。系統連系保証金3,865千円(消費税等相当額351.3千円を含む)。検討対象年度2025年度。同フォルダ[OLD]に差替前の回答書あり（行にしていない）。</t>
  </si>
  <si>
    <t>【中止】/082_御代田町大字馬瀬口30-2（長野県）_高圧蓄電所</t>
  </si>
  <si>
    <t>03_電力/02_接続検討/04_回答/【接続検討回答書】No110_佐久市布施2200-1（AAD522735200）.pdf</t>
  </si>
  <si>
    <t>112</t>
  </si>
  <si>
    <t>2025-12-25</t>
  </si>
  <si>
    <t>2025-10-02</t>
  </si>
  <si>
    <t>株式会社パワーエックス（PX松本BESS1, 受付番号AAD535543550）</t>
  </si>
  <si>
    <t>長野県松本市板場406</t>
  </si>
  <si>
    <t>犀川変電所</t>
  </si>
  <si>
    <t>犀川変電所F21 10イ671より分岐</t>
  </si>
  <si>
    <t>工事費負担金の総額 70.0百万円(消費税相当額 6.4百万円を含む)、税抜63.6百万円（架空線工事63.5/計量設備工事0.2）。概算工事費の総額も同額</t>
  </si>
  <si>
    <t>工事費負担金の入金後 36ヶ月程度（契約手続き期間は含まず。詳細の工期は別紙「所要工期について」参照）</t>
  </si>
  <si>
    <t>希望2027年1月11日。回答日＋工期36か月の単純計算で2028年12月頃（契約手続き期間は含まず）→希望日に間に合わず</t>
  </si>
  <si>
    <t>電柱新設2本・建替52本、高圧線張替6,165m(OC-W60mm2 送電容量240A)、開閉器新設20台・撤去20台、電圧調整器新設1台・取替2台・撤去1台、計量器1台・計器用変成器1台</t>
  </si>
  <si>
    <t>ノンファーム型接続適用、再給電方式（一定の順序）、力率一定制御（充電時100%・放電時98%）、励磁突入電流対策の検討に単線結線図が必要、蓄電池の出力変化速度・EMC試験結果・並列時許容周波数・保安通信用電話設備(連絡体制)は資料提出要、運用上の制約あり（犀川変電所および上位系統設備の作業停止時等）</t>
  </si>
  <si>
    <t>状態: 保留（【保留】フォルダ内）。系統連系保証金3,500千円(消費税等相当額318.1千円を含む)。検討対象年度2025年度。</t>
  </si>
  <si>
    <t>【中止】/084_八戸市大字美保野13-2348（青森県）_高圧蓄電所</t>
  </si>
  <si>
    <t>【中止】/085_おいらせ町中平下長根山1-264（青森県）_高圧蓄電所</t>
  </si>
  <si>
    <t>03_電力/02_接続検討/04_回答/【接続検討回答書】No112_松本市板場406（AAD535543550）.pdf</t>
  </si>
  <si>
    <t>114</t>
  </si>
  <si>
    <t>2025-09-01</t>
  </si>
  <si>
    <t>株式会社パワーエックス（PX八戸BESS5, 受付番号A13125516）</t>
  </si>
  <si>
    <t>青森県八戸市大字大久保字大塚17-427</t>
  </si>
  <si>
    <t>工事費負担金の総額 189.2百万円(消費税等相当額 17.2百万円を含む)、税抜172.0百万円（架空線76.8/地中線94.9/計量0.3）。概算工事費の総額 189.5百万円(税込)。別紙「概算工事費及び工事費負担金の総額」より</t>
  </si>
  <si>
    <t>配電設備工事 2年1か月程度 ／ 変電設備工事(負担金対象外) 2027年2月運開予定 ／ 混雑管理システム(ローカル系統) 運開時期は別途HP等でお知らせします。（契約手続き期間は含まず。工事費負担金入金後の期間）</t>
  </si>
  <si>
    <t>希望2027年1月11日。回答日＋配電設備工期25か月の単純計算で2028年1月頃（契約手続き期間は含まず）→希望日に間に合わず</t>
  </si>
  <si>
    <t>電柱3本／54本(共架事業者柱含む)、高圧線2,315m(AL-ACSR-L120mm2)、高圧引込線12m、電圧調整器1台(逆潮流対応II型SVR 3000kVA)、架空ケーブル131m(CVT100mm2)、管路384m(3条以下)、マンホール3個所(プレハブMH)、高圧ケーブル394m(CVT100mm2)、計量器2台・計器用変成器1台(200A)。岩渕線延長、離隔確保困難箇所は地中線路、電圧調整器新設</t>
  </si>
  <si>
    <t>ノンファーム型接続適用（基幹系統:別紙1-1グループ[青森1]、ローカル系統:154kV南八戸線(0520)154kV西八戸線(0521)八戸変電所154/66kV主要変圧器(109)）、再給電方式（一定の順序）、PCS力率一定制御 85%、非認証PCSの実機試験成績書提出、出力制御設定の確認書類提出、早期連系追加対策(充電制限)は現時点不要、N-1電制本格適用、運用上の制約あり（作業停止時等の発電抑制・停止）</t>
  </si>
  <si>
    <t>【中止】/086_八幡平市松尾寄木第13地割100（岩手県）_高圧蓄電所</t>
  </si>
  <si>
    <t>03_電力/02_接続検討/04_回答/【接続検討回答書】No114_八戸市大字大久保字大塚17-427（A13125516）.pdf</t>
  </si>
  <si>
    <t>116</t>
  </si>
  <si>
    <t>2025-11-28</t>
  </si>
  <si>
    <t>株式会社パワーエックス（PX笠岡BESS1, 受付番号G倉敷330）</t>
  </si>
  <si>
    <t>岡山県笠岡市今立2509-1</t>
  </si>
  <si>
    <t>高圧（高圧版回答書、6kV）</t>
  </si>
  <si>
    <t>本文に配電用変電所名の記載なし（工事概要図は別紙1）／基幹:新岡山変電所</t>
  </si>
  <si>
    <t>6kV絵師線 今井支37号柱と構内柱を接続（近傍配電線の空き容量不足のため、高圧線延伸および系統変更を行い絵師線へ架空線連系）</t>
  </si>
  <si>
    <t>状態: 中止。 回答一覧No83</t>
  </si>
  <si>
    <t>工事費負担金の総額 20.4百万円(消費税等相当額 1.9百万円を含む)、税抜18.5百万円（架空線17.7/計量0.3/その他(上位系設備対策)0.5）。概算工事費の総額 180.2百万円(税込)</t>
  </si>
  <si>
    <t>工事費負担金の入金後 34箇月程度。工事費負担金対象となる工事には34箇月程度を見込んでいるためアクセス設備の運用開始希望日には連系不可、連系時期の調整が必要。東岡山変電所ほかの設備対策は実施中だが本対策完了前の連系が可能（契約手続き期間、試充電・試運転期間は含まず）</t>
  </si>
  <si>
    <t>希望2027年3月8日は不可（入金後34箇月程度、連系時期の調整が必要）</t>
  </si>
  <si>
    <t>電柱新設28本・建替20本、高圧線新設1,100m・張替等1,802m、高圧引込線20m(ACSR-OC58sq)、計測機能付開閉器1台、計量器2台(精密級)・計器用変成器1台(300A)・自動検針装置1式、上位系統増強工事1式(新岡山(変)N-1充電停止制御装置ほか・新岡山系SSC改造)</t>
  </si>
  <si>
    <t>あり: 新岡山(変)500/220kV連系変圧器のN-1電制装置（過負荷保護装置。過負荷検出盤・SSC改造・通信設備）。一般負担額1.3百万円で上限超過なし。東岡山変電所ほかの設備対策は実施中、完了前の連系可</t>
  </si>
  <si>
    <t>ノンファーム型接続、再給電方式（一定の順序）、N-1電制（新岡山(変)連系変圧器事故時の充電停止制御）、早期連系追加対策(充電制限)は現時点不要</t>
  </si>
  <si>
    <t>状態: 進行中（対象フォルダ直下）。別紙1工事概要図・別紙2工事概略工程表は別ファイル。概算工事費内訳の「その他」欄は原文の印字が「143.8.0」と読める。正ファイルは画像のみのPDF（テキスト層なし、原本はパスワード付き）のため、ページ画像を画面表示して目視で読取。数値は検証時に原本と照合のこと。</t>
  </si>
  <si>
    <t>【中止】/091_紫波町北日詰字牡丹野41-1（岩手県）_高圧蓄電所</t>
  </si>
  <si>
    <t>03_電力/02_接続検討/04_回答/【接続検討回答書】No116_笠岡市今立2509-1（G倉敷330）.pdf</t>
  </si>
  <si>
    <t>119</t>
  </si>
  <si>
    <t>2026-02-18</t>
  </si>
  <si>
    <t>2025-11-25</t>
  </si>
  <si>
    <t>株式会社パワーエックス（PX高梁BESS1, 受付番号G倉敷331）</t>
  </si>
  <si>
    <t>岡山県高梁市落合町近似917-1</t>
  </si>
  <si>
    <t>本文に配電用変電所名の記載なし（工事概要図は別紙1）／基幹:東岡山変電所</t>
  </si>
  <si>
    <t>6kV美袋線 深耕寺分24H16号柱より分岐（6kV三沢線からの連系は成羽変電所の変圧器取替が必要なため、経済的に優位な6kV美袋線へ架空線連系）</t>
  </si>
  <si>
    <t>工事費負担金の総額 58.0百万円(消費税等相当額 5.3百万円を含む)、税抜52.7百万円（架空線45.0/計量0.3/その他(上位系+伐採)7.4）。概算工事費の総額 189.0百万円(税込)</t>
  </si>
  <si>
    <t>【中止】/092_南部町大字森越字押口2-1（青森県）_高圧蓄電所</t>
  </si>
  <si>
    <t>工事費負担金の入金後 48箇月程度。ただし、貴社発電設備連系に伴う対策工事完了後となるため、アクセス線運転開始希望日には連系不可、連系時期の調整が必要。東岡山変電所ほかの設備対策は実施中だが本対策完了前の連系が可能（概略工程表は別紙2）</t>
  </si>
  <si>
    <t>希望2027年2月8日は不可（入金後48箇月程度、連系時期の調整が必要）</t>
  </si>
  <si>
    <t>電柱建替85本、高圧線張替等9,157m、高圧引込線10m(SN-ACSR-OC58mm2 送電容量205A)、開閉器新設2台、計測機能付開閉器1台(400A・負担金対象外)、計量器2台・計器用変成器1台(300A)・自動検針装置1式、伐採23径間</t>
  </si>
  <si>
    <t>あり: 東岡山(変)ほかN-1充電停止制御装置（過負荷保護装置。工事費の一部を負担）。一般負担の上限超過なし。本対策完了前の連系可</t>
  </si>
  <si>
    <t>ノンファーム型接続（出力制御量に影響を与える主な設備: 東岡山(変)500/110kV連系変圧器、110kV南津山連絡線、110kV高梁支線）、再給電方式（一定の順序）、早期連系追加対策(充電制限)は現時点不要</t>
  </si>
  <si>
    <t>状態: 保留（【保留】フォルダ内）。回答書2ページ目の最大受電電力は「1,998W」と印字（kWの誤記とみられるため1,998kWとして入力）。別紙1工事概要図・別紙2概略工程表は別ファイル。正ファイルは画像のみのPDF（テキスト層なし、原本はパスワード付き）のため、ページ画像を画面表示して目視で読取。数値は検証時に原本と照合のこと。</t>
  </si>
  <si>
    <t>【中止】/094_浜松市中央区伊左地町1930-1（静岡県）_高圧蓄電所</t>
  </si>
  <si>
    <t>03_電力/02_接続検討/04_回答/【接続検討回答書】No119_高梁市落合町近似917-1（G倉敷331）.pdf</t>
  </si>
  <si>
    <t>120</t>
  </si>
  <si>
    <t>2026-01-06</t>
  </si>
  <si>
    <t>2025-10-17</t>
  </si>
  <si>
    <t>株式会社パワーエックス（PX美作BESS1, 受付番号G岡山676）</t>
  </si>
  <si>
    <t>岡山県美作市大町1527-2</t>
  </si>
  <si>
    <t>真加部変電所の近隣（本文に連系先変電所名の明記なし。既設22kV配電線から分岐し22/6kV柱上変圧器を設置）／基幹:東岡山変電所</t>
  </si>
  <si>
    <t>新設する22/6kV柱上変圧器の6kV側配電線 栗倉幹6左7号(新設)柱より分岐（最寄り・近傍の6kV配電線の空き容量不足のため6kV配電線を新設）</t>
  </si>
  <si>
    <t>工事費負担金の総額 35.9百万円(消費税等相当額 3.3百万円を含む)、税抜32.6百万円（架空線0.3/計量0.3/その他(上位系設備対策)0.9/その他(22kV設備対策)31.1）。概算工事費の総額 168.1百万円(税込)</t>
  </si>
  <si>
    <t>工事費負担金の入金後 4年2箇月（50箇月）程度。工事の所要工期は50箇月程度となりアクセス線運転開始希望日には連系不可、連系時期の調整が必要。東岡山変電所ほかのN-1充電停止制御装置の設備対策は実施中だが本対策完了前の連系が可能（契約手続期間は含まず）</t>
  </si>
  <si>
    <t>希望2027年2月8日は不可（入金後50箇月程度、連系時期の調整が必要）</t>
  </si>
  <si>
    <t>22kV配電線工事および22/6kV柱上変圧器設置工事、電柱新設1本、高圧線新設50m、高圧引込線5m(RW-HAL-OC200mm2 送電容量455Aで算定)、開閉器新設1台、計測機能付開閉器1台(400A・負担金対象外)、計量器2台・計器用変成器1台(300A)・自動検針装置1式</t>
  </si>
  <si>
    <t>あり: 東岡山(変)ほかN-1充電停止制御装置（新岡山(変)連系変圧器・東岡山(変)連系変圧器）、22kV設備対策（22kV配電線工事・22/6kV柱上変圧器設置）。本対策完了前の連系可</t>
  </si>
  <si>
    <t>ノンファーム型接続（出力制御量に影響を与える主な設備: 東岡山(変)500/110kV連系変圧器、110kV綾部線、綾部(変)110/66kV連系変圧器、66kV真加部線）、再給電方式（一定の順序）、早期連系追加対策(充電制限)を適用（66kV真加部線の熱容量超過のため。スケジュール運転機能等の導入要）</t>
  </si>
  <si>
    <t>状態: 保留（【保留】フォルダ内）。工程表上は22kV工事の資材調達が約4年を占める。別紙1工事概要図は別ファイル。正ファイルは画像のみのPDF（テキスト層なし、原本はパスワード付き）のため、ページ画像を画面表示して目視で読取。数値は検証時に原本と照合のこと。</t>
  </si>
  <si>
    <t>【中止】/095_浜松市浜名区於呂4009（静岡県）_高圧蓄電所</t>
  </si>
  <si>
    <t>03_電力/02_接続検討/04_回答/【接続検討回答書】No120_美作市大町1527-2（G岡山676）.pdf</t>
  </si>
  <si>
    <t>【中止】/096_浜松市中央区庄和町1768（静岡県）_高圧蓄電所</t>
  </si>
  <si>
    <t>121</t>
  </si>
  <si>
    <t>2026-01-29</t>
  </si>
  <si>
    <t>株式会社パワーエックス（PX津山BESS1, 受付番号G岡山732）</t>
  </si>
  <si>
    <t>岡山県津山市中北下344-36</t>
  </si>
  <si>
    <t>古川変電所（配電用）／基幹:東岡山変電所</t>
  </si>
  <si>
    <t>22kV配電線（古川院庄線）から分岐し22/6kV柱上変圧器を設置、新設6kV配電線の郷支67左22号柱より分岐</t>
  </si>
  <si>
    <t>工事費負担金の総額 105.5百万円(消費税等相当額 9.6百万円を含む)、税抜95.9百万円（架空線16.7/地中線1.8/計量0.3/上位系設備対策:変電3.4・給電0.0・通信2.3/22kV設備対策:送電65.9/伐採工事5.5）。概算工事費の総額 514.7百万円(税込)</t>
  </si>
  <si>
    <t>工事費負担金の入金後 4年3箇月(51箇月)程度。アクセス線運転開始希望日には連系不可、連系時期の調整が必要。東岡山変電所ほかのN-1充電停止制御装置の設備対策は実施中だが本対策完了前の連系が可能（契約手続期間は含まず）</t>
  </si>
  <si>
    <t>希望2027年3月8日は不可（入金後51箇月程度、連系時期の調整が必要）</t>
  </si>
  <si>
    <t>電柱新設23本・建替18本、高圧線新設990m・張替1,794m、高圧引込線10m(RW-HAL-OC200mm2 送電容量455Aで算定)、開閉器新設1台・撤去1台、計測機能付開閉器1台(負担金対象外)、高圧ケーブル差替13m(布原線)、22kV設備対策工事1式(22kV配電線工事・22/6kV柱上変圧器設置)、接地コンデンサ工事1式、樹木伐採11径間、計量器2台・計器用変成器1台(300A)・自動検針装置1式</t>
  </si>
  <si>
    <t>あり: N-1充電停止制御装置の設置（新岡山(変)500/220kV、東岡山(変)500/110kV、110kV南津山線、南津山(変)110/66kV連系変圧器、66kV津山連絡線、66kV古川線の各事故時対策。共用按分1.0〜6.0%）、古川(変)6kV配電線移設（6kV布原線を1Bに移設）。本対策完了前の連系可</t>
  </si>
  <si>
    <t>ノンファーム型接続（東岡山(変)500/110kV連系変圧器、110kV南津山連絡線・南津山線、南津山(変)110/66kV連系変圧器、66kV津山連絡線・久米津山線・古川線）、再給電方式（一定の順序）、早期連系追加対策(充電制限)を適用（南津山(変)110/66kV連系変圧器の熱容量超過のため。スケジュール運転機能等の導入要。同意しない場合は増強工事・再接続検討の可能性）、PCS力率 発電時93%遅れ／充電時93%進み一定（系統側から見て）、充電電流変化速度の調整、6kV新設線・22kV古川院庄線・古川変電所の作業停止時等は抑制・停止</t>
  </si>
  <si>
    <t>【中止】/098_御前崎市白羽2045-1（静岡県）_高圧蓄電所</t>
  </si>
  <si>
    <t>状態: 保留（【保留】フォルダ内）。検討対象年度2030年度。発電側課金割引A-1。別紙1工事概要図・別紙2適合検討書・別紙3潮流グラフは別ファイル。</t>
  </si>
  <si>
    <t>【中止】/100_浜松市中央区大人見町675（静岡県）_高圧蓄電所</t>
  </si>
  <si>
    <t>03_電力/02_接続検討/04_回答/【接続検討回答書】No121_津山市中北下344-36（G岡山732）.pdf</t>
  </si>
  <si>
    <t>122</t>
  </si>
  <si>
    <t>2026-01-23</t>
  </si>
  <si>
    <t>株式会社パワーエックス（PX真庭BESS1, 受付番号G岡山733）</t>
  </si>
  <si>
    <t>岡山県真庭市三阪83-1他</t>
  </si>
  <si>
    <t>久世変電所（No.2配電用変圧器の容量超過のため、6kV高瀬線と6kV工場線を差替えNo.1バンクに連系）／基幹:東岡山変電所</t>
  </si>
  <si>
    <t>6kV高瀬線 三坂支26右1次1左12号柱(新設柱)より分岐（最寄りの6kV富線・6kV三坂線は空き容量不足のため系統変更により高瀬線へ連系。希望の三坂支37への連系は困難なため電柱を新設し連系柱とする）</t>
  </si>
  <si>
    <t>【中止】/101_掛川市川久保1005-1（静岡県）_高圧蓄電所</t>
  </si>
  <si>
    <t>工事費負担金の総額 189.4百万円(消費税等相当額 17.3百万円を含む)、税抜172.1百万円（架空線5.9/地中線165.0/計量0.3/その他(上位系設備対策)0.9）。概算工事費の総額 320.4百万円(税込)</t>
  </si>
  <si>
    <t>工事費負担金の入金後 15ヶ月程度。工事費負担金対象となる工事の所要工期は15ヶ月程度となりアクセス線運転開始希望日には連系不可、連系時期の調整が必要。東岡山変電所ほかの設備対策は実施中だが本対策完了前の連系が可能。停電調整・資材調達等の結果により変更の可能性（契約手続期間は含まず）</t>
  </si>
  <si>
    <t>希望2027年3月8日は不可（入金後15ヶ月程度、連系時期の調整が必要）</t>
  </si>
  <si>
    <t>地中線工事（約0.5kmの管路・ケーブル工事）、架空線工事（新設約0.4km）、6kV高瀬線と6kV工場線のケーブル差替工事、高圧引込線(OC200mm2 送電容量455Aで算定。連系申込時にACSR-OC58mm2とする場合あり)、計量設備</t>
  </si>
  <si>
    <t>あり: N-1充電停止制御装置（新岡山(変)連系変圧器・東岡山(変)連系変圧器。過負荷検出盤・通信設備）。東岡山変電所ほかの設備対策は実施中、完了前の連系可。先行事業者の連系申込状況によっては久世変電所2号変圧器の増強工事が必要</t>
  </si>
  <si>
    <t>ノンファーム型接続（出力制御量に影響を与える主な設備: 東岡山(変)500/110kV連系変圧器、110kV南津山連絡線、110kV湯二岡山線、湯原第二(変)110/66kV連系変圧器）、再給電方式（一定の順序）、早期連系追加対策(充電制限)は現時点不要</t>
  </si>
  <si>
    <t>状態: 保留（【保留】フォルダ内）。別紙1工事概要図は別ファイル。正ファイルは画像のみのPDF（テキスト層なし、原本はパスワード付き）のため、ページ画像を画面表示して目視で読取。数値は検証時に原本と照合のこと。</t>
  </si>
  <si>
    <t>【中止】/102_三戸町大字梅内字中崎69-1（青森県）_高圧蓄電所</t>
  </si>
  <si>
    <t>03_電力/02_接続検討/04_回答/【接続検討回答書】No122_真庭市三阪83-1他（G岡山733）.pdf</t>
  </si>
  <si>
    <t>123</t>
  </si>
  <si>
    <t>【中止】/103_島田市竹下34-1（静岡県）_高圧蓄電所</t>
  </si>
  <si>
    <t>2026-04-06</t>
  </si>
  <si>
    <t>2026-01-08</t>
  </si>
  <si>
    <t>株式会社パワーエックス（PX吉備中央BESS1, 受付番号G倉敷363）</t>
  </si>
  <si>
    <t>岡山県吉備中央町湯山1382-1</t>
  </si>
  <si>
    <t>6kV宮地線 湯山分1H5号柱より分岐（6kV円城線からの連系は上位系の変圧器取替が必要なため、経済的に優位な6kV宮地線へ連系。蓄電所前の道路が緊急輸送道路で架空線新設が困難なため地中線連系）</t>
  </si>
  <si>
    <t>工事費負担金の総額 137.1百万円(消費税等相当額 12.5百万円を含む)、税抜124.6百万円（架空線22.8/地中線97.8/計量0.3/その他(上位系+伐採)3.7）。概算工事費の総額 268.1百万円(税込)</t>
  </si>
  <si>
    <t>工事費負担金の入金後 48箇月程度。ただし、貴社発電設備連系に伴う対策工事完了後かつ22kV配電塔新設工事完了（2027年3月末予定）後となるため、アクセス線運転開始希望日には連系不可、連系時期の調整が必要。東岡山変電所ほかの設備対策は実施中だが本対策完了前の連系が可能（概略工程表は別紙2）</t>
  </si>
  <si>
    <t>希望2027年3月8日は不可（入金後48箇月程度、連系時期の調整が必要）</t>
  </si>
  <si>
    <t>電柱新設4本・建替47本、高圧線新設105m・張替等4,459m、高圧引込線15m(SN-ACSR-OC58mm2 送電容量205A)、計測機能付開閉器1台(400A・負担金対象外)、管路420m、マンホール1箇所、高圧ケーブル470m、計量器2台・計器用変成器1台(300A)・自動検針装置1式、伐採10径間</t>
  </si>
  <si>
    <t>あり: 東岡山(変)ほかN-1充電停止制御装置（過負荷保護装置。工事費の一部を負担）。一般負担の上限超過なし。22kV配電塔新設工事（2027年3月末完了予定）の完了後の連系</t>
  </si>
  <si>
    <t>ノンファーム型接続（出力制御量に影響を与える主な設備: 66kV高梁有漢線、110kV高梁支線、110kV南津山連絡線、高梁(変)110/66kV連系変圧器、東岡山(変)500/110kV連系変圧器）、再給電方式（一定の順序）、早期連系追加対策(充電制限)は現時点不要</t>
  </si>
  <si>
    <t>状態: 保留（【保留】フォルダ内）。別紙1工事概要図・別紙2概略工程表は別ファイル。正ファイルは画像のみのPDF（テキスト層なし、原本はパスワード付き）のため、ページ画像を画面表示して目視で読取。数値は検証時に原本と照合のこと。</t>
  </si>
  <si>
    <t>【中止】/104_新地町谷地小屋字新地65-1（福島県）_高圧蓄電所</t>
  </si>
  <si>
    <t>03_電力/02_接続検討/04_回答/【接続検討回答書】No123_吉備中央町湯山1382-1（G倉敷363）.pdf</t>
  </si>
  <si>
    <t>124</t>
  </si>
  <si>
    <t>2026-02-25</t>
  </si>
  <si>
    <t>株式会社パワーエックス（PX高梁BESS2, 受付番号G倉敷402）</t>
  </si>
  <si>
    <t>岡山県高梁市中井町津々4288-1</t>
  </si>
  <si>
    <t>6kV北房線 山際支50号柱より分岐（6kV中津井線からの連系は変圧器取替が必要なため、6kV北房線での架空線連系）</t>
  </si>
  <si>
    <t>【中止】/107_磐田市笠梅1613-8（静岡県）_高圧蓄電所</t>
  </si>
  <si>
    <t>工事費負担金の総額 244.7百万円(消費税等相当額 22.2百万円を含む)、税抜222.5百万円（架空線187.8/計量0.3/その他(上位系+伐採)34.4）。概算工事費の総額 375.7百万円(税込)</t>
  </si>
  <si>
    <t>工事費負担金の入金後 144箇月程度。ただし、貴社発電設備連系に伴う対策工事完了後かつ22kV配電塔新設工事完了（2027年3月末予定）後となるため、アクセス線運転開始希望日には連系不可、連系時期の調整が必要。資材納期延期等により上位系対策工事の工期が延びた場合は運転開始が延びる場合あり。東岡山変電所ほかの設備対策は実施中だが本対策完了前の連系が可能（概略工程表は別紙2）</t>
  </si>
  <si>
    <t>希望2027年4月12日は不可（入金後144箇月程度＝約12年、連系時期の調整が必要）</t>
  </si>
  <si>
    <t>電柱新設132本・建替232本、高圧線新設5,250m・張替等29,836m、高圧引込線15m(SN-ACSR-OC58mm2 送電容量205A)、開閉器新設7台、計測機能付開閉器1台(400A・負担金対象外)、計量器2台・計器用変成器1台(300A)・自動検針装置1式、伐採118径間</t>
  </si>
  <si>
    <t>あり: 東岡山(変)ほかN-1充電停止制御装置（東岡山(変)500/110kV連系変圧器事故時に他事業者の特高蓄電池を充電停止制御する過負荷保護装置。工事費の一部を負担）。一般負担の上限超過なし。22kV配電塔新設工事（2027年3月末完了予定）の完了後の連系</t>
  </si>
  <si>
    <t>ノンファーム型接続（出力制御量に影響を与える主な設備: 東岡山(変)500/110kV連系変圧器、高梁(変)110/66kV連系変圧器、110kV南津山連絡線、110kV高梁支線、66kV高梁有漢線）、再給電方式（一定の順序）、早期連系追加対策(充電制限)は現時点不要</t>
  </si>
  <si>
    <t>状態: 保留（【保留】フォルダ内）。所要工期144箇月は原文の拡大表示で確認（高圧線張替約30km・電柱建替232本の大規模工事）。別紙1工事概要図・別紙2概略工程表は別ファイル。正ファイルは画像のみのPDF（テキスト層なし、原本はパスワード付き）のため、ページ画像を画面表示して目視で読取。数値は検証時に原本と照合のこと。</t>
  </si>
  <si>
    <t>【中止】/109_佐久市望月1001-2（長野県）_高圧蓄電所</t>
  </si>
  <si>
    <t>03_電力/02_接続検討/04_回答/【接続検討回答書】No124_高梁市中井町津々4288-1（G倉敷402）.pdf</t>
  </si>
  <si>
    <t>129</t>
  </si>
  <si>
    <t>2025-11-27</t>
  </si>
  <si>
    <t>株式会社パワーエックス（PX八戸BESS6, 受付番号A13125560）</t>
  </si>
  <si>
    <t>青森県八戸市大字市川町字尻引前山9-1</t>
  </si>
  <si>
    <t>【中止】/111_遠野市青笹町青笹４地割128-10（岩手県）_高圧蓄電所</t>
  </si>
  <si>
    <t>工事費負担金の総額 4,079.7百万円(消費税等相当額 370.9百万円を含む)、税抜3,708.8百万円（架空線11.4/計量0.3/一般負担の上限超過分3,697.1）。概算工事費の総額 4,170.1百万円(税込)。別紙「概算工事費及び工事費負担金の総額」より</t>
  </si>
  <si>
    <t>配電設備工事 8か月程度 ／ 上位系統増強工事 7年6か月程度 ／ 混雑管理システム(ローカル系統) 運開時期は別途HP等でお知らせします。（契約手続き期間は含まず。工事費負担金入金後の期間）</t>
  </si>
  <si>
    <t>希望2027年4月12日。回答日＋配電設備工期8か月の単純計算で2026年10月頃（契約手続き期間は含まず）。上位系統増強工事 7年6か月程度は別途</t>
  </si>
  <si>
    <t>電柱2本／1本、高圧引込線25m(AL-ACSR-L120mm2)、電圧調整器1台(逆潮流対応II型SVR 5,000kVA)、計量器2台・計器用変成器1台(200A)、上位系統増強工事1式（青森(変)主要変圧器）。高圧引込線新設に伴う電柱建替、電圧調整器新設</t>
  </si>
  <si>
    <t>ノンファーム型接続適用（基幹系統:別紙1-1グループ[青森1]、ローカル系統:154kV南八戸線(0520)154kV西八戸線(0521)66kV前山支線(195B)66kV十和田東線(195A)）、再給電方式（一定の順序）、PCS力率一定制御 96%、非認証PCSの実機試験成績書提出、出力制御設定の確認書類提出、早期連系追加対策(充電制限)は適用不可、N-1電制本格適用、運用上の制約あり（作業停止時等の発電抑制・停止）</t>
  </si>
  <si>
    <t>【中止】/113_楢葉町大字上小塙字戸崎21-1他（福島県）_高圧蓄電所</t>
  </si>
  <si>
    <t>【中止】/115_鏡石町岡ノ内449（福島県）_高圧蓄電所</t>
  </si>
  <si>
    <t>03_電力/02_接続検討/04_回答/【接続検討回答書】No129_八戸市大字市川町字尻引前山9-1（A13125560）.pdf</t>
  </si>
  <si>
    <t>130</t>
  </si>
  <si>
    <t>株式会社パワーエックス（PX和気BESS1, 受付番号G岡山789）</t>
  </si>
  <si>
    <t>岡山県和気郡和気町藤野1263</t>
  </si>
  <si>
    <t>和気変電所（配電用。No.1B 6kV配電線引出設備を新設）／基幹:東岡山変電所</t>
  </si>
  <si>
    <t>新設する6kV十谷線(仮称) 藤野幹8号(既設)柱より分岐（最寄り・近傍の6kV配電線の空き容量不足のため新設）</t>
  </si>
  <si>
    <t>【中止】/117_牧之原市新庄1723-1（静岡県）_高圧蓄電所</t>
  </si>
  <si>
    <t>工事費負担金の総額 43.8百万円(消費税等相当額 4.0百万円を含む)、税抜39.8百万円（架空線2.1/地中線36.3/計量0.3/その他(上位系)1.1）。概算工事費の総額 179.4百万円(税込)</t>
  </si>
  <si>
    <t>工事費負担金の入金後 20箇月程度。連系工事には20箇月必要となりアクセス線運転開始希望日には連系不可、連系時期の調整が必要（契約手続期間は含まず）</t>
  </si>
  <si>
    <t>希望2027年4月12日は不可（入金後20箇月程度、連系時期の調整が必要）</t>
  </si>
  <si>
    <t>電柱新設1本・撤去等8本、高圧線新設30m・張替等371m、高圧引込線10m(RW-HAL-OC200mm2 送電容量455A)、開閉器新設2台、計測機能付開閉器1台、管路100m、高圧ケーブル120m、和気(変)No.1B 6kV配電線引出設備新設、計量器2台・計器用変成器1台(300A)・自動検針装置1式</t>
  </si>
  <si>
    <t>あり: 東岡山(変)ほかN-1充電停止制御装置（新岡山(変)連系変圧器・東岡山(変)連系変圧器）、和気(変)No.1B 6kV配電線引出設備新設（配電線引出工事費2.9百万円のうち特定負担0.2百万円）。上位系設備対策は当該事業者の連系までの間の空き容量を活用した連系が可能</t>
  </si>
  <si>
    <t>ノンファーム型接続（出力制御量に影響を与える主な設備: 東岡山(変)500/110kV連系変圧器、110kV南津山連絡線）、再給電方式（一定の順序）、早期連系追加対策(充電制限)は現時点不要</t>
  </si>
  <si>
    <t>状態: 進行中（対象フォルダ直下）。別紙1工事概要図・別紙2工事概略工程表は別ファイル。正ファイルは画像のみのPDF（テキスト層なし、原本はパスワード付き）のため、ページ画像を画面表示して目視で読取。数値は検証時に原本と照合のこと。</t>
  </si>
  <si>
    <t>【中止】/118_井原市高屋町2976-1（岡山県）_高圧蓄電所</t>
  </si>
  <si>
    <t>03_電力/02_接続検討/04_回答/【接続検討回答書】No130_和気町藤野1263（G岡山789）.pdf</t>
  </si>
  <si>
    <t>【中止】/125_御前崎市合戸1247-1他（静岡県）_高圧蓄電所</t>
  </si>
  <si>
    <t>131</t>
  </si>
  <si>
    <t>2026-04-20</t>
  </si>
  <si>
    <t>2026-01-27</t>
  </si>
  <si>
    <t>株式会社パワーエックス（PX伯耆BESS1, 受付番号G鳥取473）</t>
  </si>
  <si>
    <t>鳥取県伯耆町大原974-7</t>
  </si>
  <si>
    <t>22kV淀江溝口線から22kV/6kV柱上変圧器(2.5MVA)を新設（送電系統は旭変電所6kV枡水線だが熱容量超過のため）／基幹:日野変電所</t>
  </si>
  <si>
    <t>新設する6kV(仮称)新設線（22kV淀江溝口線212号柱に22kV/6kV柱上変圧器を新設し、その2次側から引出）より構内柱へ架空線連系</t>
  </si>
  <si>
    <t>工事費負担金の総額 74.1百万円(消費税等相当額 6.7百万円を含む)、税抜67.4百万円（架空線26.5/計量0.3/その他(上位系増強工事)40.6）。概算工事費の総額 381.0百万円(税込)</t>
  </si>
  <si>
    <t>工事費負担金の入金後 53カ月程度。連系工事には4年5ヵ月必要となりアクセス線運転開始希望日（2027年10月1日）には連系不可、連系時期の調整が必要。日野変電所220/110kV連系変圧器および110kV米子連絡線N-1電制装置設置ほかの設備対策は実施中だが本対策完了前の連系が可能（契約手続期間は含まず）</t>
  </si>
  <si>
    <t>希望2027年5月10日（回答書の所要工期欄では2027年10月1日と記載）は不可（入金後53カ月程度、連系時期の調整が必要）</t>
  </si>
  <si>
    <t>電柱新設2本・建替75本、高圧線新設35m・張替等3,744m(RW-AL-OC200mm2)、高圧引込線20m、開閉器5台、電圧調整器(SVR 3,000kVA)1台、計測機能付開閉器1台、高圧ケーブル54m(6kV-Cu-CVT100mm2)、22kV送電設備（電柱新設2本・建替1本、電線10m ACSR/AC-OC120mm2）、22kV/6kV柱上変圧器1台(2.5MVA)</t>
  </si>
  <si>
    <t>【中止】/126_美作市小畑249-1（岡山県）_高圧蓄電所</t>
  </si>
  <si>
    <t>あり: 22kV/6kV柱上変圧器新設（22kV送電設備3.2百万円＋変電設備37.3百万円のうち特定負担38.5百万円）、日野(変)220/110kV連系変圧器N-1充電停止装置（特定負担0.1百万円）、110kV米子連絡線の充電停止装置・給電設備テーブル修正（一般負担）。一般負担の上限超過なし。本対策完了前の連系可</t>
  </si>
  <si>
    <t>ノンファーム型接続（出力制御量に影響を与える主な設備: 66kV米子線）、再給電方式（一定の順序）、早期連系追加対策(充電制限)は現時点不要、電圧変動対策は不適（励磁突入電流対策が必要）、保安通信用電話設備は対応方法を明示、発電出力の抑制機能は装置設置に同意</t>
  </si>
  <si>
    <t>状態: 保留（【保留】フォルダ内）。運用開始希望日は2ページ目の表では2027年5月10日、所要工期欄の本文では2027年10月1日と記載が異なる。正ファイルは画像のみのPDF（テキスト層なし、原本はパスワード付き）のため、ページ画像を画面表示して目視で読取。数値は検証時に原本と照合のこと。</t>
  </si>
  <si>
    <t>【中止】/127_真庭市上水田8275-1他（岡山県）_高圧蓄電所</t>
  </si>
  <si>
    <t>03_電力/02_接続検討/04_回答/【接続検討回答書】No131_伯耆町大原974-7（G鳥取473）.pdf</t>
  </si>
  <si>
    <t>132</t>
  </si>
  <si>
    <t>2025-12-26</t>
  </si>
  <si>
    <t>株式会社パワーエックス（PX美作BESS2, 受付番号G岡山883）</t>
  </si>
  <si>
    <t>岡山県美作市下町21</t>
  </si>
  <si>
    <t>大原変電所（No.1配電用変圧器の3次(22kV)側に22kV配電線引出設備を新設）／基幹:東岡山変電所</t>
  </si>
  <si>
    <t>新設する6kV新設線 武蔵幹5B1号柱より分岐（最寄りの6kV西粟倉線の空き容量不足のため、22kVアクセス線を引出し22kV/6kV柱上変圧器により6kV配電線を新設）</t>
  </si>
  <si>
    <t>【中止】/128_真庭市蒜山東茅部712-72（岡山県）_高圧蓄電所</t>
  </si>
  <si>
    <t>工事費負担金の総額 102.9百万円(消費税等相当額 9.4百万円を含む)、税抜93.5百万円（架空線0.4/計量0.3/その他(上位系設備対策)12.3/その他(22kV設備対策工事)80.5）。概算工事費の総額 284.6百万円(税込)</t>
  </si>
  <si>
    <t>工事費負担金の入金後 50箇月（4年2箇月）程度。工事費負担金対象となる工事の所要工期は50箇月程度となりアクセス設備の運用開始希望日には連系不可、連系時期の調整が必要。東岡山変電所ほかの設備対策は実施中だが本対策完了前の連系が可能（契約手続期間は含まず）</t>
  </si>
  <si>
    <t>希望2027年5月10日は不可（入金後50箇月程度、連系時期の調整が必要）</t>
  </si>
  <si>
    <t>22kVアクセス線工事（管路工事約172m、地中ケーブル工事約214m）および22kV/6kV柱上変圧器設置工事、電柱新設2本・建替1本、高圧線新設30m、高圧引込線20m(OC200mm2 送電容量455Aで算定)、変圧器1台、計測機能付開閉器1台(400A・負担金対象外)、接地コンデンサ工事1式、計量器2台・計器用変成器1台(300A)・自動検針装置1式</t>
  </si>
  <si>
    <t>あり: 大原(変)No.1配変3次側に22kV配電線引出設備を新設、東岡山(変)ほかN-1充電停止制御装置（過負荷保護装置。工事費の一部を負担）、22kV設備対策工事。バンク逆潮流対策は連系予定日が対策完了後3年以降となるため負担対象外。本対策完了前の連系可</t>
  </si>
  <si>
    <t>ノンファーム型接続（出力制御量に影響を与える主な設備: 東岡山(変)500/110kV連系変圧器、110kV綾部線ほか）、再給電方式（一定の順序）、早期連系追加対策(充電制限)を適用（66kV真加部線の熱容量超過のため）</t>
  </si>
  <si>
    <t>【中止】/135_江津市二宮町神主ﾊ427（島根県）_高圧蓄電所</t>
  </si>
  <si>
    <t>03_電力/02_接続検討/04_回答/【接続検討回答書】No132_美作市下町21（G岡山883）.pdf</t>
  </si>
  <si>
    <t>133</t>
  </si>
  <si>
    <t>【中止】/139_大田市長久町土江206-1（島根県）_高圧蓄電所</t>
  </si>
  <si>
    <t>株式会社パワーエックス（PX鏡野BESS1, 受付番号G岡山881）</t>
  </si>
  <si>
    <t>岡山県鏡野町羽出1170-1</t>
  </si>
  <si>
    <t>奥津変電所（No.1配電用変圧器を10MVA→15MVAに取替）／基幹:東岡山変電所</t>
  </si>
  <si>
    <t>6kV羽出線 東谷支33次1号柱より分岐（最も近く連系が可能な6kV羽出線へ架空線連系）</t>
  </si>
  <si>
    <t>工事費負担金の総額 114.8百万円(消費税等相当額 10.4百万円を含む)、税抜104.4百万円（架空線8.5/計量0.3/その他(上位系設備対策)3.8/その他(NTT柱建替)3.2/一般負担の上限額超過分88.6）。概算工事費の総額 563.0百万円(税込)</t>
  </si>
  <si>
    <t>工事費負担金の入金後 35箇月程度（2年11箇月程度）。工事費負担金対象となる工事の所要工期は35箇月程度となりアクセス線運転開始希望日には連系不可、連系時期の調整が必要（工程表: 架空線工事・計器工事・上位系対策工事）</t>
  </si>
  <si>
    <t>希望2027年5月10日は不可（入金後35箇月程度、連系時期の調整が必要）</t>
  </si>
  <si>
    <t>架空線張替工事（約1.7km、適正電圧維持のため）、高圧引込線(HAL-OC200mm2 送電容量455Aで算定)、奥津(変)No.1配電用変圧器（2次側直列機器含む）の増強(10MVA→15MVA)、計量設備、NTT柱建替</t>
  </si>
  <si>
    <t>あり: 奥津(変)No.1配電用変圧器の増強（10MVA→15MVA。設備更新の受益により一般負担とするが、一般負担額170.5百万円が上限81.9百万円を超えるため超過分88.6百万円を負担）、N-1充電停止制御装置（上位系設備対策）</t>
  </si>
  <si>
    <t>ノンファーム型接続（出力制御量に影響を与える主な設備: 東岡山(変)500/110kV連系変圧器、110kV南津山連絡線ほか）、再給電方式（一定の順序）、早期連系追加対策(充電制限)を適用（南津山変電所110/66kV連系変圧器の熱容量超過のため）、PCS力率 発電時93%（系統側から見て遅れ力率）一定、力率・電圧変動対策は不適（力率一定制御値について協議）、6kV羽出線・奥津変電所の作業停止時等は抑制・停止</t>
  </si>
  <si>
    <t>状態: 保留（【保留】フォルダ内）。検討対象年度2029年度。別紙1工事概要図は別ファイル。正ファイルは画像のみのPDF（テキスト層なし、原本はパスワード付き）のため、ページ画像を画面表示して目視で読取。数値は検証時に原本と照合のこと。</t>
  </si>
  <si>
    <t>【中止】/145_周防大島町大字西方1237-1（山口県）_高圧蓄電所</t>
  </si>
  <si>
    <t>【中止】/149_東広島市八本松町原11460-4（広島県）_高圧蓄電所</t>
  </si>
  <si>
    <t>03_電力/02_接続検討/04_回答/【接続検討回答書】No133_鏡野町羽出1170-1（G岡山881）.pdf</t>
  </si>
  <si>
    <t>134</t>
  </si>
  <si>
    <t>2026-05-08</t>
  </si>
  <si>
    <t>2026-02-09</t>
  </si>
  <si>
    <t>株式会社パワーエックス（PX川崎BESS2, 受付番号A41325555）</t>
  </si>
  <si>
    <t>宮城県川崎町大字川内字藤折60-1他</t>
  </si>
  <si>
    <t>工事費負担金の総額 7,443.6百万円(消費税等相当額 676.7百万円を含む)、税抜6,766.9百万円（架空線13.5/変電設備895.1/計量0.3/一般負担の上限超過分5,858.0）。概算工事費の総額 7,551.6百万円(税込)。別紙「概算工事費及び工事費負担金の総額」より</t>
  </si>
  <si>
    <t>【中止】/153_美祢市秋芳町秋吉302-1（山口県）_高圧蓄電所</t>
  </si>
  <si>
    <t>配電設備工事 9か月程度 ／ 上位系統増強工事 南仙台(変)154/66kV主要変圧器MT3増強工事 (2029年7月運開予定)以降、6年7ヶ月程度 ／ 混雑管理システム(ローカル系統) 運開時期は別途HP等でお知らせします。（契約手続き期間は含まず。工事費負担金入金後の期間）</t>
  </si>
  <si>
    <t>希望2027年6月7日。回答日＋配電設備工期9か月の単純計算で2027年2月頃（契約手続き期間は含まず）。上位系統増強工事 南仙台(変)154/66kV主要変圧器MT3増強工事 (2029年7月運開予定)以降、6年7ヶ月程度は別途</t>
  </si>
  <si>
    <t>電柱2本／2本、高圧線474m(AL-ACSR-L120mm2)、高圧引込線5m、開閉器1台(逆潮流対応型事故区間表示器)、電圧調整器1台(逆潮流対応II型SVR 3000kVA)、計量器2台・計器用変成器1台(200A)、上位系統増強工事1式。電圧調整器新設、許容電流超過の高圧線張替・電柱建替、逆潮流対応型機器への取替</t>
  </si>
  <si>
    <t>あり: 西仙台(変)275/154kV主要変圧器増設(1台、300MVA)、南仙台(変)154/66kV主要変圧器MT1・MT4増強(2台、150→200MVA)、あすと長町(変)・長町(変)短絡容量超過対策(25kA→31.5kA)、中田(変)短絡容量超過対策(20kA→25kA)。南仙台(変)MT3増強(100→150MVA、貴社負担金対象外、2029年7月運開予定)の後、6年7ヶ月程度。変電設備工事の負担金概算895.1百万円、一般負担の上限超過分5,858.0百万円</t>
  </si>
  <si>
    <t>ノンファーム型接続適用（基幹系統:別紙1-1グループ[宮城1]、ローカル系統:なし）、再給電方式（一定の順序）、PCS力率一定制御 96%、非認証PCSの実機試験成績書提出、出力制御設定の確認書類提出、早期連系追加対策(充電制限)は適用不可、N-1電制本格適用、運用上の制約あり（作業停止時等の発電抑制・停止）、前提条件: 先行する他発電設備が連系すること</t>
  </si>
  <si>
    <t>【中止】/156_聖籠町大字蓮野6343-1（新潟県）_高圧蓄電所</t>
  </si>
  <si>
    <t>03_電力/02_接続検討/04_回答/【接続検討回答書】No134_川崎町大字川内字藤折60-1他（A41325555）.pdf</t>
  </si>
  <si>
    <t>136</t>
  </si>
  <si>
    <t>【中止】/163_千葉市花見川区宇那谷町1836（千葉県）_高圧蓄電所</t>
  </si>
  <si>
    <t>2026-05-21</t>
  </si>
  <si>
    <t>2026-02-26</t>
  </si>
  <si>
    <t>株式会社パワーエックス（PX浜田BESS1, 受付番号G松江622）</t>
  </si>
  <si>
    <t>島根県浜田市下府町994-2</t>
  </si>
  <si>
    <t>6kV浅井線 上ノ浜幹35号柱より分岐（最寄りの6kV国分線は放電潮流で熱容量超過のため浅井線に連系）</t>
  </si>
  <si>
    <t>工事費負担金の総額 427.8百万円(消費税等相当額 38.9百万円を含む)、税抜388.9百万円（架空線9.9/計量0.3/その他(NTT柱建替)3.0/その他(上位系)131.2/一般負担の上限額超過分244.5）。概算工事費の総額 652.0百万円(税込)</t>
  </si>
  <si>
    <t>工事費負担金の入金後 35箇月程度。連系工事には35箇月必要となりアクセス線運転開始希望日には連系不可、連系時期の調整が必要。主要機器の長納期化・金城変電所連系変圧器取替の停電作業調整次第でさらに延びる虞。先行発電者等によるN-1電制装置設置工事は実施中だが本対策完了前の連系が可能（契約手続期間は含まず）</t>
  </si>
  <si>
    <t>希望2027年6月7日は不可（入金後35箇月程度、連系時期の調整が必要）</t>
  </si>
  <si>
    <t>電柱新設21本・建替4本、高圧線新設994m・張替384m(HAL-OC200mm2。下府(幹)3号〜上ノ浜幹35号付近まで増架・新設)、高圧引込線23m(ACSR-OC58mm2 送電容量205A)、計測機能付開閉器1台、計量器2台・計器用変成器1台(300A)・自動検針装置1式、NTT関係工事(電柱建替)6本</t>
  </si>
  <si>
    <t>あり: 金城変電所110/66kV No.1連系変圧器取替(60MVA→100MVA。充電(下り)潮流で設備健全時に熱容量超過のため)、順潮流対策用N-1電制装置(過負荷保護装置)設置（西島根変電所220/110kV連系変圧器・110kV金城連絡線・金城変電所110/66kV連系変圧器。共用按分2.60〜6.00%）。一般負担の上限額超過分244.5百万円</t>
  </si>
  <si>
    <t>ノンファーム型接続（西島根(変)220kV/110kV連系変圧器、110kV金城連絡線）、再給電方式（一定の順序）、早期連系追加対策(充電制限)は適用不可（金城変電所110/66kV連系変圧器で充電制限時間が適用上限を超過）、N-1電制</t>
  </si>
  <si>
    <t>状態: 保留（【保留】フォルダ内）。正ファイル（【接続検討回答書】No136…）は画像のみのPDFのため、同フォルダの原本「PX浜田BESS1PW_【秘】接続検討回答書（G松江622）.pdf」(23ページ)のテキスト層から読取。発電側課金の割引適用有無は空欄。</t>
  </si>
  <si>
    <t>【中止】/164_三次市山家町658-1（広島県）_高圧蓄電所</t>
  </si>
  <si>
    <t>03_電力/02_接続検討/04_回答/【接続検討回答書】No136_浜田市下府町994-2（G松江622）.pdf</t>
  </si>
  <si>
    <t>137</t>
  </si>
  <si>
    <t>【中止】/168_能代市真壁地上野5-177他（秋田県）_高圧蓄電所</t>
  </si>
  <si>
    <t>2026-06-25</t>
  </si>
  <si>
    <t>株式会社パワーエックス（PX松江BESS1, 受付番号G松江690）</t>
  </si>
  <si>
    <t>島根県松江市宍道町宍道1007-1</t>
  </si>
  <si>
    <t>宍道変電所（配電用）／基幹:松江変電所</t>
  </si>
  <si>
    <t>宍道変電所6kV佐々布線 要害山分11T1号柱より分岐（最寄りの6kV来待線は容量超過のため、配電用変圧器取替・新フィーダ引出しにより系統変更して佐々布線に連系）</t>
  </si>
  <si>
    <t>工事費負担金の総額 437.5百万円(消費税等相当額 39.8百万円を含む)、税抜397.7百万円（架空線6.7/地中線43.5/計量0.3/その他(NTT柱建替)0.5/その他(上位系)98.6/一般負担の上限額超過分248.1）。概算工事費の総額 579.5百万円(税込)</t>
  </si>
  <si>
    <t>工事費負担金の入金後 34ヶ月程度。連系工事に34ヶ月程度必要となりアクセス設備の運用開始希望日には連系不可、連系時期の調整が必要。松江変電所220/110kV連系変圧器N-1電制装置設置ほかの設備対策は実施中だが本対策完了前の連系が可能（契約手続期間は含まず）</t>
  </si>
  <si>
    <t>希望2027年8月2日は不可（入金後34ヶ月程度、連系時期の調整が必要）</t>
  </si>
  <si>
    <t>電柱新設2本・建替29本、高圧線新設50m・張替1,272m(ALC-OC200mm2)、高圧引込線15m、開閉器新設1台・取替1台、計測機能付開閉器1台、管路570m、マンホール2箇所、高圧ケーブル610m(CVT400mm2)、宍道(変)2号変圧器取替(25/15/10MVA→25/20/10MVA)、宍道(変)2号6kVスイッチギア取替(2000A→3000A)、6kV引出設備1式、計量器2台・計器用変成器1台(300A)・自動検針装置1式、NTT柱建替1本</t>
  </si>
  <si>
    <t>あり: 配電用変電所の増強（宍道変電所2号変圧器取替・6kVスイッチギア取替・6kV引出設備新設）、松江(変)220/110kV連系変圧器N-1電制装置設置に伴う工事（松江変電所潮流検出盤設置、北松江変電所過負荷処理盤改造ほか。共用按分1.00%）。一般負担の上限額超過分248.1百万円</t>
  </si>
  <si>
    <t>ノンファーム型接続（北松江(変)500kV/220kV連系変圧器、110kV松江直江線）、再給電方式（一定の順序）、早期連系追加対策(充電制限)を適用（110kV松江直江線の熱容量超過のため。スケジュール運転機能等の導入要。同意しない場合は増強工事・再接続検討の可能性）、PCS力率 放電側93%遅れ／充電側93%進み一定（系統側から見て）、充電変化速度の調整、出力変化速度5秒以上／10分、6kV佐々布線・宍道変電所の作業停止時等は抑制・停止</t>
  </si>
  <si>
    <t>【中止】/X2505_東御市御牧原382-1（長野県）_高圧蓄電所</t>
  </si>
  <si>
    <t>状態: 保留（【保留】フォルダ内）。検討対象年度2029年度。発電側課金割引A-2。同フォルダの別紙ファイル名は「PX笠岡BESS1_…（G松江690）」となっているが受付番号はG松江690。</t>
  </si>
  <si>
    <t>【中止】/X2509_大山町名和2313-1（鳥取県）_高圧蓄電所</t>
  </si>
  <si>
    <t>03_電力/02_接続検討/04_回答/【接続検討回答書】No137_松江市宍道町宍道1007-1（G松江690）.pdf</t>
  </si>
  <si>
    <t>138</t>
  </si>
  <si>
    <t>2026-04-27</t>
  </si>
  <si>
    <t>株式会社パワーエックス（PX飯南BESS1, 受付番号G松江623）</t>
  </si>
  <si>
    <t>島根県飯南町下来島831他</t>
  </si>
  <si>
    <t>来島配電塔（22kV潮来島線。バンク逆潮流対策）／潮変電所（No.2変圧器を20MVA×1台増設）</t>
  </si>
  <si>
    <t>6kV琴引線 頓原幹255T1号柱より分岐（最も近く連系が可能な6kV琴引線へ架空線連系）</t>
  </si>
  <si>
    <t>【中止】/X2509_湖西市白須賀3985-3198（静岡県）_高圧蓄電所</t>
  </si>
  <si>
    <t>工事費負担金の総額 255.5百万円(消費税等相当額 23.2百万円を含む)、税抜232.3百万円（架空線0.1/バンク逆潮流対策7.0/計量0.3/その他(上位系増強工事: 基幹系統関係・変圧器増強関係)37.7/一般負担の上限額超過分187.2）。概算工事費の総額 411.8百万円(税込)</t>
  </si>
  <si>
    <t>工事費負担金の入金後 31ヶ月程度。連系工事に31ヶ月程度必要となりアクセス設備の運用開始希望日には連系不可、連系時期の調整が必要。220kV広島西幹線・作木支線のN-1ほか電制装置設置および広島系SSC取替の設備対策は実施中だが本対策完了前の連系が可能（工程表: 上位系対策工事が約31か月、バンク逆潮流対策は2年目後半〜。契約手続期間は含まず）</t>
  </si>
  <si>
    <t>希望2027年6月7日は不可（入金後31ヶ月程度、連系時期の調整が必要）</t>
  </si>
  <si>
    <t>架空引込線新設6m(RW-AL-OC200mm2 送電容量455A)、計測機能付開閉器1台(当社負担)、バンク逆潮流対策1式(ZPD・OVGR新設)、潮(変)No.2変圧器増設1台(20MVA)、計量器2台(精密級)・計器用変成器1台(300A)・自動検針装置1式</t>
  </si>
  <si>
    <t>あり: 潮変電所 配電用変圧器の増設（20MVA×1台。N-1故障時に移動用変圧器の容量を超過するため）、N-1充電停止装置設置に伴う通信設備（220kV広島西幹線・220kV作木支線）、広島系SSC取替。一般負担の上限額超過分187.2百万円。本対策完了前の連系可</t>
  </si>
  <si>
    <t>ノンファーム型接続（出力制御量に影響を与える主な設備: 220kV作木支線、110kV潮熊見線）、再給電方式（一定の順序）</t>
  </si>
  <si>
    <t>状態: 保留（【保留】フォルダ内）。正ファイルは画像のみのPDF（テキスト層なし、原本はパスワード付き）のため、ページ画像を画面表示して目視で読取。数値は検証時に原本と照合のこと。</t>
  </si>
  <si>
    <t>【中止】/X2510_八戸市大字金浜字土橋2-9（青森県）_高圧蓄電所</t>
  </si>
  <si>
    <t>03_電力/02_接続検討/04_回答/【接続検討回答書】No138_飯南町下来島831他（G松江623）.pdf</t>
  </si>
  <si>
    <t>140</t>
  </si>
  <si>
    <t>2026-03-02</t>
  </si>
  <si>
    <t>株式会社パワーエックス（PX大田BESS1, 受付番号G松江656）</t>
  </si>
  <si>
    <t>島根県大田市大田町大田イ1609-1</t>
  </si>
  <si>
    <t>【中止】/X2510_浅口市鴨方町小坂西2779-1（岡山県）_高圧蓄電所</t>
  </si>
  <si>
    <t>大田変電所（配電用。バンク逆潮流対策は実施済み）</t>
  </si>
  <si>
    <t>6kV富山線 野城(分)1T1号柱より分岐（富山線の熱容量超過のため、富山線に連系している他社発電所を6kV久利線へ系統変更したうえで連系）</t>
  </si>
  <si>
    <t>工事費負担金の総額 32.9百万円(消費税等相当額 2.9百万円を含む)、税抜30.0百万円（架空線15.8/計量0.4/その他(上位系増強工事・NTT柱建替・伐採工事)13.8）。概算工事費の総額 102.5百万円(税込)</t>
  </si>
  <si>
    <t>工事費負担金の入金後 41ヶ月程度。連系工事に41ヶ月程度必要となりアクセス設備の運用開始希望日には連系不可、連系時期の調整が必要。220kV広島西幹線・作木支線のN-1ほか電制装置設置および広島系SSC取替の設備対策は実施中だが本対策完了前の連系が可能（契約手続期間は含まず）</t>
  </si>
  <si>
    <t>希望2027年7月5日は不可（入金後41ヶ月程度、連系時期の調整が必要）</t>
  </si>
  <si>
    <t>電柱新設9本・建替36本、高圧線新設450m・張替等2,460m(RW-AL-OC200mm2、増架含む)、高圧引込線新設24m(ACSR-OC58mm2 送電容量205A)、計測機能付開閉器1台(当社負担)、計量器2台(精密級)・計器用変成器1台(300A)・自動検針装置1式、NTT柱建替22本、伐採4径間</t>
  </si>
  <si>
    <t>あり: N-1充電停止装置設置に伴う通信設備（220kV広島西幹線: 先行事業者の特定負担額46.1百万円×1.3%＝0.6百万円、220kV作木支線: 16.2百万円×3.2%＝0.5百万円）、広島系SSC取替（一般負担3.0百万円、上限超過なし）。本対策完了前の連系可</t>
  </si>
  <si>
    <t>ノンファーム型接続（出力制御量に影響を与える主な設備: 220kV作木支線、明塚(変)110kV/66kV連系変圧器）、再給電方式（一定の順序）、早期連系追加対策(充電制限)は現時点不要、電圧変動対策は連系申込時に協議、保安通信用電話設備は対応方法を明示</t>
  </si>
  <si>
    <t>状態: 進行中（対象フォルダ直下）。正ファイルは画像のみのPDF（テキスト層なし、原本はパスワード付き）のため、ページ画像を画面表示して目視で読取。数値は検証時に原本と照合のこと。</t>
  </si>
  <si>
    <t>【中止】/X2511_出雲市多伎町久村567-1他（島根県）_高圧蓄電所</t>
  </si>
  <si>
    <t>03_電力/02_接続検討/04_回答/【接続検討回答書】No140_大田市大田町大田ｲ1609-1（G松江656）.pdf</t>
  </si>
  <si>
    <t>141</t>
  </si>
  <si>
    <t>2026-05-22</t>
  </si>
  <si>
    <t>【中止】/X2511_出雲市多伎町久村690-2（島根県）_高圧蓄電所</t>
  </si>
  <si>
    <t>株式会社パワーエックス（PX大田BESS2, 受付番号G松江659）</t>
  </si>
  <si>
    <t>島根県大田市大田町野城ロ84-7他</t>
  </si>
  <si>
    <t>6kV富山線 野城(分)54号柱より分岐（富山線の熱容量超過のため、富山線に連系している他社発電所を6kV久利線へ系統変更したうえで連系）</t>
  </si>
  <si>
    <t>工事費負担金の総額 32.8百万円(消費税等相当額 3.0百万円を含む)、税抜29.8百万円（架空線15.6/計量0.4/その他(上位系増強工事・NTT柱建替・伐採工事)13.8）。概算工事費の総額 102.3百万円(税込)</t>
  </si>
  <si>
    <t>架空線工事（増架 RW-AL-OC200mm2 121m＋2,339m、新設 RW-AL-OC200mm2 450m）、架空引込線新設5m(ACSR-OC58mm2 送電容量205A)、開閉器新設(計測・当社負担)、計量設備(VCTおよび計量器)、NTT柱建替、伐採工事</t>
  </si>
  <si>
    <t>あり: N-1充電停止制御設備（220kV広島西幹線・220kV作木支線事故時）、広島系SSC（系統安定化装置）取替。本対策完了前の連系可</t>
  </si>
  <si>
    <t>ノンファーム型接続（出力制御量に影響を与える主な設備: 220kV作木支線、明塚(変)110kV/66kV連系変圧器）、再給電方式（一定の順序）、早期連系追加対策(充電制限)は現時点不要</t>
  </si>
  <si>
    <t>状態: 保留（【保留】フォルダ内）。同じ大田変電所6kV富山線に連系するNo140（G松江656）と工事内容・金額がほぼ同じ。正ファイルは画像のみのPDF（テキスト層なし、原本はパスワード付き）のため、ページ画像を画面表示して目視で読取。数値は検証時に原本と照合のこと。</t>
  </si>
  <si>
    <t>【中止】/X2511_岡山市北区三和635-1（岡山県）_高圧蓄電所</t>
  </si>
  <si>
    <t>【中止】/X2511_江津市二宮町神主ｲ157-1（島根県）_高圧蓄電所</t>
  </si>
  <si>
    <t>03_電力/02_接続検討/04_回答/【接続検討回答書】No141_大田市大田町野城ﾛ84-7他（G松江659）.pdf</t>
  </si>
  <si>
    <t>143</t>
  </si>
  <si>
    <t>2026-03-03</t>
  </si>
  <si>
    <t>株式会社パワーエックス（発電者の名称欄は「株式会社パワーエックス」と記載, 受付番号G松江660）</t>
  </si>
  <si>
    <t>島根県鹿足郡吉賀町九郎原534</t>
  </si>
  <si>
    <t>六日市変電所（配電用変圧器の空き容量不足のため、22/6kV柱上変圧器(2.5MVA)を新設）／基幹:西島根変電所</t>
  </si>
  <si>
    <t>6kV朝倉線 深谷(幹)23号柱より分岐（22/6kV柱上変圧器を新設し、朝倉線の一部を系統変更したうえで架空線連系）</t>
  </si>
  <si>
    <t>工事費負担金の総額 58.1百万円(消費税等相当額 5.3百万円を含む)、税抜52.8百万円（架空線10.3/計量0.3/その他(22kV設備対策工事・上位系増強工事)42.2）。概算工事費の総額 149.5百万円(税込)</t>
  </si>
  <si>
    <t>【中止】/X2511_邑南町下亀谷689-17他（島根県）_高圧蓄電所</t>
  </si>
  <si>
    <t>工事費負担金の入金後 54箇月程度。連系工事には54箇月必要となりアクセス線運転開始希望日には連系不可、連系時期の調整が必要。西島根変電所220/110kV連系変圧器N-1電制装置設置ほかの設備対策は実施中だが本対策完了前の連系が可能（工程表: 22kV設備対策工事が約4年半、6kV架空線工事は4年目下期〜。契約手続期間は含まず）</t>
  </si>
  <si>
    <t>希望2027年7月5日は不可（入金後54箇月程度、連系時期の調整が必要）</t>
  </si>
  <si>
    <t>22kV架空線新設20m(ACSR-OC120mm2)・22kV架空ケーブル新設1,077m(CVT60mm2)、22/6kV柱上変圧器新設(2.5MVA)、自動電圧調整器(SVR 3000kVA)新設、高圧線新設(HAL-OC200mm2 55m・230m)・増架、高圧引込線新設10m(ACSR-OC58mm2 送電容量205A)、開閉器新設(計測)、接地用コンデンサ新設、計量設備</t>
  </si>
  <si>
    <t>あり: 22/6kV柱上変圧器新設に伴う上位系設備（変電21.3・送電17.3・給電0.9百万円）、西島根(変)220/110kV連系変圧器N-1電制装置新設（変電0.7・給電0.1・通信0.1百万円）。一般負担額40.3百万円で上限(81.9百万円)超過なし。本対策完了前の連系可</t>
  </si>
  <si>
    <t>ノンファーム型接続（出力制御量に影響を与える主な設備: 西島根(変)220kV/110kV連系変圧器、110kV東益田連絡線）、再給電方式（一定の順序）、早期連系追加対策(充電制限)は現時点不要、電圧変動対策は連系申込時に協議、保安通信用電話設備は対応方法を明示、発電出力の抑制機能は不適（装置設置に同意）</t>
  </si>
  <si>
    <t>【中止】/X2512_岡崎市箱柳町字泉92他（愛知県）_高圧蓄電所</t>
  </si>
  <si>
    <t>03_電力/02_接続検討/04_回答/【接続検討回答書】No143_吉賀町九郎原534（G松江660）.pdf</t>
  </si>
  <si>
    <t>144</t>
  </si>
  <si>
    <t>2026-06-18</t>
  </si>
  <si>
    <t>【中止】/X2512_松江市東出雲町上意東111-1他（島根県）_高圧蓄電所</t>
  </si>
  <si>
    <t>株式会社パワーエックス（PX長門BESS1, 受付番号G山口863）</t>
  </si>
  <si>
    <t>山口県長門市油谷新別名983-1</t>
  </si>
  <si>
    <t>連系否。変電所新設工事に係わる工事費負担金概算は12,078.5百万円以上(消費税等相当額1,098.0百万円を含む)。配電用変電所および配電線以下の増強工事等は詳細検討を行っておらず本回答に含まず</t>
  </si>
  <si>
    <t>（連系否のため詳細検討なし）220kV変電所新設工事: 220kV送電線新設(鉄塔建替1基・改造2基、亘長0.86km)、変電所新設(送電線引出220kV2回線・110kV2回線、変圧器220/110kV300MVA×2台)、新小野田(変)変電設備・110kV小野田線除却、110kV送電線新設(鉄塔建替1基・改造2基、亘長0.83km)、110kV西宇部小野田線増強(鉄塔改造3基、張替0.72km)、電磁誘導対策</t>
  </si>
  <si>
    <t>変電所新設が必要（貴社連系による順潮流で設備健全時に新小野田変電所220/110kV変圧器の熱容量超過）</t>
  </si>
  <si>
    <t>連系否: 連系に必要な工事費負担金額が、申込者が提示した負担可能上限額を超過するため。代替案（変電所新設ならびに配電用変電所および配電線以下の増強）も上限額超過のため提示なし。連系可能な最大受電電力の提示なし</t>
  </si>
  <si>
    <t>状態: 保留（【保留】フォルダ内）。正ファイル（【接続検討回答書】No144…）は画像のみのPDFのため、同フォルダの原本「PX長門BESS1PW_【秘】接続検討回答書（高圧）（G山口863）.pdf」(4ページ)のテキスト層から読取。所要工期の記載なし。負担金(円)は「12,078.5百万円以上」の下限値。</t>
  </si>
  <si>
    <t>【中止】/X2601_出雲市大社町入南1370-2（島根県）_高圧蓄電所</t>
  </si>
  <si>
    <t>【中止】/X2601_大田市川合町川合1323-1他（島根県）_高圧蓄電所</t>
  </si>
  <si>
    <t>03_電力/02_接続検討/04_回答/【接続検討回答書】No144_長門市油谷新別名983-1（G山口863）.pdf</t>
  </si>
  <si>
    <t>146</t>
  </si>
  <si>
    <t>株式会社パワーエックス（PX田布施BESS1, 受付番号G周南415）</t>
  </si>
  <si>
    <t>山口県田布施町大字宿井368-1</t>
  </si>
  <si>
    <t>田布施変電所（配電用）／基幹:柳井火力変電所</t>
  </si>
  <si>
    <t>田布施変電所6kV祇園フィーダ</t>
  </si>
  <si>
    <t>工事費負担金の総額 572.9百万円(消費税等相当額 52.1百万円を含む)、税抜520.8百万円（架空線10.9/計量0.3/上位系増強工事343.7/NTT建替工事5.4/一般負担の上限額超過分160.5）。概算工事費の総額 665.2百万円(税込)</t>
  </si>
  <si>
    <t>【中止】/X2601_松江市国屋町555-1他（島根県）_高圧蓄電所</t>
  </si>
  <si>
    <t>対策1（配電線）: 工事費負担金の入金後 18か月／対策2（110kV平生支線(仮称)・平生変電所(仮称)新設、既対応工事）: 2029年4月完了予定／対策3（110kV柳井火力線増強）: 工事費負担金の入金後 39か月。連系には対策1〜3の完了が必要。アクセス設備の運用開始希望日には連系不可、連系時期の調整が必要（契約手続期間は含まず）</t>
  </si>
  <si>
    <t>希望2027年8月2日は不可（対策1:入金後18か月、対策2:2029年4月完了予定、対策3:入金後39か月の全完了が必要）</t>
  </si>
  <si>
    <t>高圧線張替1,410m、高圧引込線新設8m(RW-AL-OC200mm2)、開閉器新設1台・取替9台・撤去1台、電圧調整器取替1台、計測機能付開閉器1台(負担金対象外)、計量器2台・計器用変成器1台(300A)・自動検針装置1式、NTT建替工事12本</t>
  </si>
  <si>
    <t>あり: 110kV柳井火力線増強工事（鉄塔15基改造、電線XTACIR400mm2(2cct) 10.06km張替。入金後39か月）。別途、110kV平生支線(仮称)・平生変電所(仮称)新設工事（既対応工事・本申込み起因外、2029年4月完了予定）の完了以降に連系。一般負担の上限額超過分160.5百万円</t>
  </si>
  <si>
    <t>ノンファーム型接続（新徳山変電所220kV/110kV連系用変圧器、110kV徳山連絡線）、再給電方式（一定の順序）、早期連系追加対策(充電制限)は現時点不要、PCS力率 充電時遅れ93%／放電時進み93%（発電設備から見て）、出力変化速度5秒以上／10分(10%/60秒)、周波数リレー整定値は別途協議、6kV祇園フィーダ・田布施変電所の作業停止時等は抑制・停止。対策2は対応完了以降の連系開始を承諾することが条件</t>
  </si>
  <si>
    <t>状態: 保留（【保留】フォルダ内）。検討対象年度2029年度。発電側課金割引なし。工期(月)は配電線工事（対策1）の18か月を記載。</t>
  </si>
  <si>
    <t>【中止】/X2601_益田市匹見町匹見ｲ1526-1（島根県）_高圧蓄電所</t>
  </si>
  <si>
    <t>03_電力/02_接続検討/04_回答/【接続検討回答書】No146_田布施町大字宿井368-1（G周南415）.pdf</t>
  </si>
  <si>
    <t>147</t>
  </si>
  <si>
    <t>2026-09-07</t>
  </si>
  <si>
    <t>2026-06-10</t>
  </si>
  <si>
    <t>株式会社パワーエックス（PX福山BESS1, 受付番号G福山433）</t>
  </si>
  <si>
    <t>広島県福山市引野町4968他</t>
  </si>
  <si>
    <t>引野変電所（配電用）／基幹:笠岡変電所</t>
  </si>
  <si>
    <t>6kV皿山線 宮の谷支17M1号柱より分岐</t>
  </si>
  <si>
    <t>【中止】/X2603_北広島町本地488-1他（広島県）_高圧蓄電所</t>
  </si>
  <si>
    <t>工事費負担金の総額 4.3百万円(消費税等相当額 0.4百万円を含む)、税抜3.9百万円（架空線2.9/計量0.3/その他(上位系統増強工事)0.7）。概算工事費の総額 81.2百万円(税込)</t>
  </si>
  <si>
    <t>工事費負担金の入金後 16箇月程度。連系工事には16箇月程度必要となりアクセス設備の運用開始希望日には連系不可、連系時期の調整が必要（契約手続期間は含まず）</t>
  </si>
  <si>
    <t>希望2027年10月4日は不可（入金後16箇月程度、連系時期の調整が必要）</t>
  </si>
  <si>
    <t>電柱建替7本、高圧線張替579m、高圧引込線新設5m(OC200mm2 送電容量455A)、計測機能付開閉器1台、計量器2台(精密級)・計器用変成器1台(300A)・自動検針装置1式</t>
  </si>
  <si>
    <t>あり: 新岡山(変)500/220kV N-1充電停止装置設置に伴う通信設備（共用設備。先行事業者の特定負担額68.6百万円×負担金比率1.0%＝0.7百万円）</t>
  </si>
  <si>
    <t>ノンファーム型接続、再給電方式（一定の順序）、早期連系追加対策(充電制限)は現時点不要、PCS力率 放電時進み93%／充電時遅れ93%一定（発電等設備から見て。最適値は連系申込時に提示）、出力変化速度 需給調整市場取引時は0→100%で5秒以上／取引しない場合100%/10分以下、手動復帰、N-1電制本格適用、6kV皿山線・引野変電所の作業停止時等は充放電の抑制・停止、電圧変動対策・保護装置・保安通信用電話設備は別途協議、昇圧用変圧器タップ6,600V推奨</t>
  </si>
  <si>
    <t>状態: 進行中（対象フォルダ直下）。検討対象年度2027年度。発電側課金割引A-1。別紙1工事概要図・別紙2概略工程表（架空線工事・計器工事）・別紙3適合検討書は別ファイル。</t>
  </si>
  <si>
    <t>【中止】/X2603_江津市二宮町神主1964-5（島根県）_高圧蓄電所</t>
  </si>
  <si>
    <t>03_電力/02_接続検討/04_回答/【接続検討回答書】No147_福山市引野町4968他（G福山433）.pdf</t>
  </si>
  <si>
    <t>150</t>
  </si>
  <si>
    <t>2026-08-19</t>
  </si>
  <si>
    <t>株式会社パワーエックス（PX東広島BESS1, 受付番号G東広島720）</t>
  </si>
  <si>
    <t>広島県東広島市黒瀬町津江21828他</t>
  </si>
  <si>
    <t>黒瀬変電所（1号変圧器の増強が必要）</t>
  </si>
  <si>
    <t>【中止】/X2604_五泉市小山田967（新潟県）_高圧蓄電所</t>
  </si>
  <si>
    <t>連系否。黒瀬変電所1号変圧器の増強工事に係わる工事費負担金概算は140.1百万円以上(消費税等相当額を含む)。配電線以下工事等は詳細検討を行っておらず本回答に含まず</t>
  </si>
  <si>
    <t>（連系否のため詳細検討なし）配電用変電所（黒瀬変電所1号変圧器）の増強が必要。配電線以下の工事は未検討</t>
  </si>
  <si>
    <t>黒瀬変電所1号変圧器の増強が必要（貴社連系による順潮流(逆潮流)で設備健全時に熱容量超過）</t>
  </si>
  <si>
    <t>連系否: 連系に必要な工事費負担金額が、申込者が提示した負担可能上限額を超過するため。代替案（配電用変電所(配電塔)および配電線以下の増強）も上限額超過のため提示なし。連系可能な最大受電電力の提示なし</t>
  </si>
  <si>
    <t>状態: 保留（【保留】フォルダ内）。回答書本文は3ページ（別紙 工事概要図は別ファイル）。所要工期の記載なし。負担金(円)は「140.1百万円以上」の下限値。発電場所は本文「津江21828他」、フォルダ・ファイル名は「津江21818他」。</t>
  </si>
  <si>
    <t>【中止】/X2606_東広島市西条町大沢10120-1（広島県）_高圧蓄電所</t>
  </si>
  <si>
    <t>03_電力/02_接続検討/04_回答/【接続検討回答書】No150_東広島市黒瀬町津江21818他（G東広島720）.pdf</t>
  </si>
  <si>
    <t>151</t>
  </si>
  <si>
    <t>【中止】/X2606_秋田市飯島字飯岡136-1他（秋田県）_高圧蓄電所</t>
  </si>
  <si>
    <t>2026-08-06</t>
  </si>
  <si>
    <t>2026-05-15</t>
  </si>
  <si>
    <t>株式会社パワーエックス（PX北広島BESS1, 受付番号G広島285）</t>
  </si>
  <si>
    <t>広島県北広島町本地1877-1他</t>
  </si>
  <si>
    <t>最寄りの6kV石井谷線は空き容量なし。配電線引出工事で空き容量を確保した6kVA線での架空線連系（代替案）</t>
  </si>
  <si>
    <t>連系否。110kV本地南支線の増強工事および配電線以下の増強の工事費負担金概算は590.9百万円(消費税等相当額53.7百万円を含む)</t>
  </si>
  <si>
    <t>（連系否）110kV本地南支線の増強工事(85MVA→88MVA)、配電線引出工事、配電線以下の増強が必要</t>
  </si>
  <si>
    <t>110kV本地南支線の増強工事(85MVA→88MVA)が必要（充電(下り)潮流によりN-1故障時にNo13〜No37間の熱容量超過）</t>
  </si>
  <si>
    <t>連系否: 連系に必要な工事費負担金額が、申込者が提示した負担可能上限額100百万円を超過するため。代替案（110kV本地南支線の増強工事および配電線以下の増強）も上限額超過のため提示なし。連系可能な最大受電電力の提示なし</t>
  </si>
  <si>
    <t>状態: 保留（【保留】フォルダ内）。回答書本文は3ページ。所要工期の記載なし。ファイル名の末尾（拡張子の前）に空白あり。</t>
  </si>
  <si>
    <t>【中止】/X2607_村上市七湊585-1（新潟県）_高圧蓄電所</t>
  </si>
  <si>
    <t>【中止】/X2607_田原市保美町段土113（愛知県）_高圧蓄電所</t>
  </si>
  <si>
    <t>03_電力/02_接続検討/04_回答/【接続検討回答書】No151_北広島町本地1877-1他（G広島285） .pdf</t>
  </si>
  <si>
    <t>158</t>
  </si>
  <si>
    <t>2026-09-17</t>
  </si>
  <si>
    <t>株式会社パワーエックス（PX大崎上島BESS1, 受付番号G東広島793）</t>
  </si>
  <si>
    <t>広島県大崎上島町中野3462-1他</t>
  </si>
  <si>
    <t>大崎変電所（配電用）</t>
  </si>
  <si>
    <t>6kV木ノ江線 本郷支15K1号柱より分岐（最寄りの明石方配電塔6kV恋地線は上位系の空き容量がないため、次に近傍で連系可能な大崎変電所6kV木ノ江線へ架空線連系）</t>
  </si>
  <si>
    <t>工事費負担金の総額 7.6百万円(消費税等相当額 0.7百万円を含む)、税抜6.9百万円（架空線5.0/計量0.3/その他(上位系統増強工事)1.6）。概算工事費の総額 353.2百万円(税込)</t>
  </si>
  <si>
    <t>【中止】/X2608_八戸市大字鮫町字鉄砲平17-1（青森県）_高圧蓄電所</t>
  </si>
  <si>
    <t>工事費負担金の入金後 11箇月+α。対策①（架空線工事・計量設備工事）: 入金後11箇月程度／対策②（110kV竹原火力線ほか接続変更工事）: 2030年4月末予定／対策③（他社特別高圧事業者設備(110kV開閉設備)の設備容量超過箇所取替工事）: 貴社にて対応が必要なため所要工期に含まず。連系には対策①〜③の完了が必要（契約手続期間は含まず）</t>
  </si>
  <si>
    <t>希望2027年11月1日は不可（対策②の完了が2030年4月末予定、対策③は申込者側で対応が必要）</t>
  </si>
  <si>
    <t>電柱新設4本・建替8本、高圧線新設247m・張替等568m、高圧引込線33m(SN-ACSR-OC200mm2 送電容量455A)、計測機能付開閉器1台、計量器2台(精密級)・計器用変成器1台(300A)・自動検針装置1式、上位系統増強工事1式(220kV広島西幹線N-1充電停止装置、110kV竹原火力線・竹原呉線N-1充電停止装置)</t>
  </si>
  <si>
    <t>あり: 110kV竹原火力・竹原呉線のN-1充電停止装置（過負荷保護装置）設置（工事費の一部を負担）、110kV竹原火力線ほか接続変更工事（上位系統の順潮流対策、2030年4月末完了予定。完了後の連系）。別途、充電潮流によりN-1故障時に特別高圧事業者設備(110kV開閉設備)の容量を超過するため当該設備の取替が必要（第三者設備のため申込者側で調整・対応）</t>
  </si>
  <si>
    <t>ノンファーム型接続（出力制御量に影響を与える主な設備: 220kV広島西幹線）、再給電方式（一定の順序）、早期連系追加対策(充電制限)は現時点不要、対策②・③の完了後の連系開始を承諾することが条件</t>
  </si>
  <si>
    <t>状態: 進行中（対象フォルダ直下）。工期(月)は対策①（架空線・計量設備工事）の11箇月を記載。連系可能時期は対策②（2030年4月末予定）以降。別紙1工事概要図・別紙2概略工程表は別ファイル。正ファイルは画像のみのPDF（テキスト層なし、原本はパスワード付き）のため、ページ画像を画面表示して目視で読取。数値は検証時に原本と照合のこと。</t>
  </si>
  <si>
    <t>【中止】/X2608_大館市山田字下柏木岱14-1（秋田県）_高圧蓄電所</t>
  </si>
  <si>
    <t>03_電力/02_接続検討/04_回答/【接続検討回答書】No158_大崎上島町中野3462-1他（G東広島793）.pdf</t>
  </si>
  <si>
    <t>166</t>
  </si>
  <si>
    <t>2026-08-31</t>
  </si>
  <si>
    <t>（PX小山BESS1, 管理番号JK26GHZ057572）</t>
  </si>
  <si>
    <t>静岡県駿東郡小山町上野277-2</t>
  </si>
  <si>
    <t>高圧（高圧版）</t>
  </si>
  <si>
    <t>負担金の記載なし（接続検討申込に伴う概算工期のお知らせ）</t>
  </si>
  <si>
    <t>概算工期（受給契約申込後〜工事完了）は 48カ月以上。配変バンクまたは配電線にて運用容量の超過が見込まれるため、大規模な対策工事が必要</t>
  </si>
  <si>
    <t>概算工期48カ月以上（受給契約申込後〜工事完了）</t>
  </si>
  <si>
    <t>配変バンクまたは配電線の運用容量超過に対する大規模な対策工事（内容の記載なし）</t>
  </si>
  <si>
    <t>状態: 保留（【保留】フォルダ内）。東京電力PG「接続検討申込に伴う概算工期のお知らせ」（作成日2026年8月31日、02-3_仮回答フォルダ）。接続検討回答書ではなく仮回答で、接続検討を続ける場合は検討料の支払いが必要。工期(月)は「48カ月以上」の下限値。</t>
  </si>
  <si>
    <t>03_電力/02_接続検討/02-3_仮回答/概算工期回答書_JK26GHZ057572.pdf</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</si>
</sst>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9">
    <font>
      <sz val="11.0"/>
      <color theme="1"/>
      <name val="Calibri"/>
      <scheme val="minor"/>
    </font>
    <font>
      <b/>
      <sz val="14.0"/>
      <color theme="1"/>
      <name val="Arial"/>
    </font>
    <font>
      <b/>
      <sz val="10.0"/>
      <color rgb="FFFFFFFF"/>
      <name val="Arial"/>
    </font>
    <font>
      <sz val="10.0"/>
      <color theme="1"/>
      <name val="Arial"/>
    </font>
    <font>
      <b/>
      <color theme="1"/>
      <name val="Arial"/>
    </font>
    <font>
      <sz val="10.0"/>
      <color rgb="FF0000FF"/>
      <name val="Arial"/>
    </font>
    <font>
      <u/>
      <sz val="10.0"/>
      <color rgb="FF0563C1"/>
      <name val="Arial"/>
    </font>
    <font>
      <u/>
      <sz val="10.0"/>
      <color rgb="FF0563C1"/>
      <name val="Arial"/>
    </font>
    <font>
      <u/>
      <sz val="10.0"/>
      <color rgb="FF0563C1"/>
      <name val="Arial"/>
    </font>
  </fonts>
  <fills count="4">
    <fill>
      <patternFill patternType="none"/>
    </fill>
    <fill>
      <patternFill patternType="lightGray"/>
    </fill>
    <fill>
      <patternFill patternType="solid">
        <fgColor rgb="FF1F4E78"/>
        <bgColor rgb="FF1F4E78"/>
      </patternFill>
    </fill>
    <fill>
      <patternFill patternType="solid">
        <fgColor rgb="FFFFF2CC"/>
        <bgColor rgb="FFFFF2CC"/>
      </patternFill>
    </fill>
  </fills>
  <borders count="3">
    <border/>
    <border>
      <left/>
      <right/>
      <top/>
      <bottom/>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Font="1"/>
    <xf borderId="1" fillId="2" fontId="2" numFmtId="0" xfId="0" applyBorder="1" applyFill="1" applyFont="1"/>
    <xf borderId="0" fillId="0" fontId="3" numFmtId="0" xfId="0" applyAlignment="1" applyFont="1">
      <alignment shrinkToFit="0" vertical="top" wrapText="1"/>
    </xf>
    <xf borderId="0" fillId="0" fontId="3" numFmtId="0" xfId="0" applyFont="1"/>
    <xf borderId="0" fillId="0" fontId="4" numFmtId="0" xfId="0" applyAlignment="1" applyFont="1">
      <alignment shrinkToFit="0" vertical="top" wrapText="1"/>
    </xf>
    <xf borderId="2" fillId="2" fontId="2" numFmtId="0" xfId="0" applyAlignment="1" applyBorder="1" applyFill="1" applyFont="1">
      <alignment shrinkToFit="0" vertical="center" wrapText="1"/>
    </xf>
    <xf borderId="2" fillId="0" fontId="3" numFmtId="0" xfId="0" applyAlignment="1" applyBorder="1" applyFont="1">
      <alignment shrinkToFit="0" vertical="top" wrapText="1"/>
    </xf>
    <xf borderId="2" fillId="0" fontId="5" numFmtId="0" xfId="0" applyAlignment="1" applyBorder="1" applyFont="1">
      <alignment shrinkToFit="0" vertical="top" wrapText="1"/>
    </xf>
    <xf borderId="2" fillId="0" fontId="5" numFmtId="3" xfId="0" applyAlignment="1" applyBorder="1" applyFont="1" applyNumberFormat="1">
      <alignment shrinkToFit="0" vertical="top" wrapText="1"/>
    </xf>
    <xf borderId="0" fillId="0" fontId="3" numFmtId="164" xfId="0" applyFont="1" applyNumberFormat="1"/>
    <xf borderId="0" fillId="0" fontId="6" numFmtId="0" xfId="0" applyAlignment="1" applyFont="1">
      <alignment shrinkToFit="0" vertical="top" wrapText="1"/>
    </xf>
    <xf borderId="2" fillId="0" fontId="3" numFmtId="3" xfId="0" applyAlignment="1" applyBorder="1" applyFont="1" applyNumberFormat="1">
      <alignment shrinkToFit="0" vertical="top" wrapText="1"/>
    </xf>
    <xf borderId="2" fillId="3" fontId="3" numFmtId="0" xfId="0" applyAlignment="1" applyBorder="1" applyFill="1" applyFont="1">
      <alignment shrinkToFit="0" vertical="top" wrapText="1"/>
    </xf>
    <xf borderId="2" fillId="0" fontId="7" numFmtId="0" xfId="0" applyAlignment="1" applyBorder="1" applyFont="1">
      <alignment shrinkToFit="0" vertical="top" wrapText="1"/>
    </xf>
    <xf borderId="0" fillId="0" fontId="3" numFmtId="3" xfId="0" applyAlignment="1" applyFont="1" applyNumberFormat="1">
      <alignment shrinkToFit="0" vertical="top" wrapText="1"/>
    </xf>
    <xf borderId="0" fillId="0" fontId="8" numFmtId="0" xfId="0" applyFont="1"/>
  </cellXfs>
  <cellStyles count="1">
    <cellStyle xfId="0" name="Normal" builtinId="0"/>
  </cellStyles>
  <dxfs count="1">
    <dxf>
      <font/>
      <fill>
        <patternFill patternType="solid">
          <fgColor rgb="FFF8CBAD"/>
          <bgColor rgb="FFF8CBAD"/>
        </patternFill>
      </fill>
      <border/>
    </dxf>
  </dxfs>
</styleSheet>
</file>

<file path=xl/_rels/workbook.xml.rels><?xml version="1.0" encoding="UTF-8" standalone="yes"?><Relationships xmlns="http://schemas.openxmlformats.org/package/2006/relationships"><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file/d/19eP6p2_v0F3S93vn7k0wn75-TCNACA5y/view?usp=drivesdk" TargetMode="External"/><Relationship Id="rId42" Type="http://schemas.openxmlformats.org/officeDocument/2006/relationships/hyperlink" Target="https://drive.google.com/file/d/14-LRbl6d5XE2FQVqa_iv19oM0sT7vOiJ/view?usp=drivesdk" TargetMode="External"/><Relationship Id="rId41" Type="http://schemas.openxmlformats.org/officeDocument/2006/relationships/hyperlink" Target="https://drive.google.com/file/d/1riz0ItXhH1BagUR_wsc_NedwbzpVEkEE/view?usp=drivesdk" TargetMode="External"/><Relationship Id="rId44" Type="http://schemas.openxmlformats.org/officeDocument/2006/relationships/hyperlink" Target="https://drive.google.com/file/d/1mkSwRg2QOZrADXwP58d4h93bJvEP3hi8/view?usp=drivesdk" TargetMode="External"/><Relationship Id="rId43" Type="http://schemas.openxmlformats.org/officeDocument/2006/relationships/hyperlink" Target="https://drive.google.com/file/d/1GYWYB5DfXsmFzEkvUVWAltoOJIdlGKxL/view?usp=drivesdk" TargetMode="External"/><Relationship Id="rId46" Type="http://schemas.openxmlformats.org/officeDocument/2006/relationships/hyperlink" Target="https://drive.google.com/file/d/1XUC5GzzfWetpQkjZVx8sV5oAYZWOCJSO/view?usp=drivesdk" TargetMode="External"/><Relationship Id="rId45" Type="http://schemas.openxmlformats.org/officeDocument/2006/relationships/hyperlink" Target="https://drive.google.com/file/d/1cmFABR1LVpL-gYHpT0uLuX8B5-ujj2T-/view?usp=drivesdk" TargetMode="External"/><Relationship Id="rId107" Type="http://schemas.openxmlformats.org/officeDocument/2006/relationships/hyperlink" Target="https://drive.google.com/file/d/1QmXlZAA_7Ea0pdZlqLY_rSDOmapyfoHV/view?usp=drivesdk" TargetMode="External"/><Relationship Id="rId106" Type="http://schemas.openxmlformats.org/officeDocument/2006/relationships/hyperlink" Target="https://drive.google.com/file/d/1Faa8xfbUwuEaEfjLzU8KEef6dzgaTKZ_/view?usp=drivesdk" TargetMode="External"/><Relationship Id="rId105" Type="http://schemas.openxmlformats.org/officeDocument/2006/relationships/hyperlink" Target="https://drive.google.com/file/d/15_6Nc3MpZaQptyOHPFaDVMuW1Jd_ETeO/view?usp=drivesdk" TargetMode="External"/><Relationship Id="rId104" Type="http://schemas.openxmlformats.org/officeDocument/2006/relationships/hyperlink" Target="https://drive.google.com/file/d/1GElTOfmMbne00ncJjNGmH3aON6iXTjng/view?usp=drivesdk" TargetMode="External"/><Relationship Id="rId109" Type="http://schemas.openxmlformats.org/officeDocument/2006/relationships/hyperlink" Target="https://drive.google.com/file/d/1gF7qMgdX66CiZ1EzYIzjSkelyUwWwr9s/view?usp=drivesdk" TargetMode="External"/><Relationship Id="rId108" Type="http://schemas.openxmlformats.org/officeDocument/2006/relationships/hyperlink" Target="https://drive.google.com/file/d/1xFPPkAxP94ImK2QoLu31vw-iq4scCq5K/view?usp=drivesdk" TargetMode="External"/><Relationship Id="rId48" Type="http://schemas.openxmlformats.org/officeDocument/2006/relationships/hyperlink" Target="https://drive.google.com/file/d/18Cb_c64Wenr84sueJjY-qkT7VE8ss2Zi/view?usp=drivesdk" TargetMode="External"/><Relationship Id="rId47" Type="http://schemas.openxmlformats.org/officeDocument/2006/relationships/hyperlink" Target="https://drive.google.com/file/d/13Y-1RBkR587pMn-rTOyg20HTMMzkHGMK/view?usp=drivesdk" TargetMode="External"/><Relationship Id="rId49" Type="http://schemas.openxmlformats.org/officeDocument/2006/relationships/hyperlink" Target="https://drive.google.com/file/d/1kNE9IBABrhY_7PjA6gFHgFvOls6YW_4s/view?usp=drivesdk" TargetMode="External"/><Relationship Id="rId103" Type="http://schemas.openxmlformats.org/officeDocument/2006/relationships/hyperlink" Target="https://drive.google.com/file/d/1smuY_2hd1QUuQf4C892keGJjMM2bRPRi/view?usp=drivesdk" TargetMode="External"/><Relationship Id="rId102" Type="http://schemas.openxmlformats.org/officeDocument/2006/relationships/hyperlink" Target="https://drive.google.com/file/d/1ZfqwFP_Scy_xV2ChB5qKie7F49FGqAlg/view?usp=drivesdk" TargetMode="External"/><Relationship Id="rId101" Type="http://schemas.openxmlformats.org/officeDocument/2006/relationships/hyperlink" Target="https://drive.google.com/file/d/1uaXKNt2HtzgMzhj1UeWJXvoWvCiGwhgd/view?usp=drivesdk" TargetMode="External"/><Relationship Id="rId100" Type="http://schemas.openxmlformats.org/officeDocument/2006/relationships/hyperlink" Target="https://drive.google.com/file/d/1SKN5Z67Km-uxKo9bIfbn30E4_52YeooY/view?usp=drivesdk" TargetMode="External"/><Relationship Id="rId31" Type="http://schemas.openxmlformats.org/officeDocument/2006/relationships/hyperlink" Target="https://drive.google.com/file/d/1arYWZK47gCtLuS1gNfkt--rrR-Eb2so5/view?usp=drivesdk" TargetMode="External"/><Relationship Id="rId30" Type="http://schemas.openxmlformats.org/officeDocument/2006/relationships/hyperlink" Target="https://drive.google.com/file/d/1PuXTdPuvKu8M0n3oVVN8e8JBqPZkOO5u/view?usp=drivesdk" TargetMode="External"/><Relationship Id="rId33" Type="http://schemas.openxmlformats.org/officeDocument/2006/relationships/hyperlink" Target="https://drive.google.com/file/d/1umM-Oudq5dolTkwU6ogbk_xodv5j0Lm_/view?usp=drivesdk" TargetMode="External"/><Relationship Id="rId32" Type="http://schemas.openxmlformats.org/officeDocument/2006/relationships/hyperlink" Target="https://drive.google.com/file/d/1R5JvdHVdtgDyow-kcQ4MbMfb2pnvfpEm/view?usp=drivesdk" TargetMode="External"/><Relationship Id="rId35" Type="http://schemas.openxmlformats.org/officeDocument/2006/relationships/hyperlink" Target="https://drive.google.com/file/d/16grGfOLmEjUaUw9nmKo5WWuN-NsGL-2P/view?usp=drivesdk" TargetMode="External"/><Relationship Id="rId34" Type="http://schemas.openxmlformats.org/officeDocument/2006/relationships/hyperlink" Target="https://drive.google.com/file/d/1oxTYY6BLGRw8xIn2_0Jzz3dQ9p20yLP3/view?usp=drivesdk" TargetMode="External"/><Relationship Id="rId37" Type="http://schemas.openxmlformats.org/officeDocument/2006/relationships/hyperlink" Target="https://drive.google.com/file/d/1Y7toFcP34zAMkqOMC9scZQFSk1ze7hqx/view?usp=drivesdk" TargetMode="External"/><Relationship Id="rId36" Type="http://schemas.openxmlformats.org/officeDocument/2006/relationships/hyperlink" Target="https://drive.google.com/file/d/1-v9BftskvDqE2UQqmqHb4sv-fQHPY8gm/view?usp=drivesdk" TargetMode="External"/><Relationship Id="rId39" Type="http://schemas.openxmlformats.org/officeDocument/2006/relationships/hyperlink" Target="https://drive.google.com/file/d/1z7kzKoxos6VKXtKO_ywRDoiG87mNU4dH/view?usp=drivesdk" TargetMode="External"/><Relationship Id="rId38" Type="http://schemas.openxmlformats.org/officeDocument/2006/relationships/hyperlink" Target="https://drive.google.com/file/d/1R_1YUy31pZm-UJIWrBTLzuaDID9Mdyzh/view?usp=drivesdk" TargetMode="External"/><Relationship Id="rId20" Type="http://schemas.openxmlformats.org/officeDocument/2006/relationships/hyperlink" Target="https://drive.google.com/file/d/1vJ8mHsWWVgJuAGy629H2F9cgYLRM4U6z/view?usp=drivesdk" TargetMode="External"/><Relationship Id="rId22" Type="http://schemas.openxmlformats.org/officeDocument/2006/relationships/hyperlink" Target="https://drive.google.com/file/d/1qYmOcFmG2TI2FKekQ49Zjt3EOBflTAJd/view?usp=drivesdk" TargetMode="External"/><Relationship Id="rId21" Type="http://schemas.openxmlformats.org/officeDocument/2006/relationships/hyperlink" Target="https://drive.google.com/file/d/1TAUx3j_MFFCHlVa67CEZIDwZ_keCyb1v/view?usp=drivesdk" TargetMode="External"/><Relationship Id="rId24" Type="http://schemas.openxmlformats.org/officeDocument/2006/relationships/hyperlink" Target="https://drive.google.com/file/d/1Cf1C7SgNyJy-Xr8Ov-G6fMk8jRHQtFch/view?usp=drivesdk" TargetMode="External"/><Relationship Id="rId23" Type="http://schemas.openxmlformats.org/officeDocument/2006/relationships/hyperlink" Target="https://drive.google.com/file/d/1srLQ1h21fHU_ye7_nMVTadrjlXGbSkDq/view?usp=drivesdk" TargetMode="External"/><Relationship Id="rId127" Type="http://schemas.openxmlformats.org/officeDocument/2006/relationships/vmlDrawing" Target="../drawings/vmlDrawing1.vml"/><Relationship Id="rId126" Type="http://schemas.openxmlformats.org/officeDocument/2006/relationships/drawing" Target="../drawings/drawing1.xml"/><Relationship Id="rId26" Type="http://schemas.openxmlformats.org/officeDocument/2006/relationships/hyperlink" Target="https://drive.google.com/file/d/1hjaS2zR8Tpt1cGooXxs2hOeIvPydMzdO/view?usp=drivesdk" TargetMode="External"/><Relationship Id="rId121" Type="http://schemas.openxmlformats.org/officeDocument/2006/relationships/hyperlink" Target="https://drive.google.com/file/d/1eLnSsvZSKBBKj7NQ--dvcsZx9TU9LQDC/view?usp=drivesdk" TargetMode="External"/><Relationship Id="rId25" Type="http://schemas.openxmlformats.org/officeDocument/2006/relationships/hyperlink" Target="https://drive.google.com/file/d/1voZUA2dViR3RpxF6fcgjhKa1Anl_GsaO/view?usp=drivesdk" TargetMode="External"/><Relationship Id="rId120" Type="http://schemas.openxmlformats.org/officeDocument/2006/relationships/hyperlink" Target="https://drive.google.com/file/d/1BzvkvJ1do8y5b3TgYMIYNWa15XtOI6Z_/view?usp=drivesdk" TargetMode="External"/><Relationship Id="rId28" Type="http://schemas.openxmlformats.org/officeDocument/2006/relationships/hyperlink" Target="https://drive.google.com/file/d/1PZ5scN29x1R1R-yWGPw9qp0dpdxYjB9d/view?usp=drivesdk" TargetMode="External"/><Relationship Id="rId27" Type="http://schemas.openxmlformats.org/officeDocument/2006/relationships/hyperlink" Target="https://drive.google.com/file/d/1R4zCXk-o0JCpWIubjfTl5mCMiYXxoNN8/view?usp=drivesdk" TargetMode="External"/><Relationship Id="rId125" Type="http://schemas.openxmlformats.org/officeDocument/2006/relationships/hyperlink" Target="https://drive.google.com/file/d/1fkqghclV8iAJLWcxkk5wfCiHVVl_JXgK/view?usp=drivesdk" TargetMode="External"/><Relationship Id="rId29" Type="http://schemas.openxmlformats.org/officeDocument/2006/relationships/hyperlink" Target="https://drive.google.com/file/d/15HCAJkfSXN_EVoLCmKCKs8AOs2Y8Tq4I/view?usp=drivesdk" TargetMode="External"/><Relationship Id="rId124" Type="http://schemas.openxmlformats.org/officeDocument/2006/relationships/hyperlink" Target="https://drive.google.com/file/d/1eoc2OFoNIs-fQ7Egh2bKG9HRczj0PMuS/view?usp=drivesdk" TargetMode="External"/><Relationship Id="rId123" Type="http://schemas.openxmlformats.org/officeDocument/2006/relationships/hyperlink" Target="https://drive.google.com/file/d/1Kyd6IFfLtEowgoPt22fOSYFvlzJCjAWV/view?usp=drivesdk" TargetMode="External"/><Relationship Id="rId122" Type="http://schemas.openxmlformats.org/officeDocument/2006/relationships/hyperlink" Target="https://drive.google.com/file/d/1PQx1RyY7p2Q5q_56BvgzlRoYgL7Q0zFl/view?usp=drivesdk" TargetMode="External"/><Relationship Id="rId95" Type="http://schemas.openxmlformats.org/officeDocument/2006/relationships/hyperlink" Target="https://drive.google.com/file/d/1kfD2rASJ94nlhHzLTCGNn6ZOhWU8PF9e/view?usp=drivesdk" TargetMode="External"/><Relationship Id="rId94" Type="http://schemas.openxmlformats.org/officeDocument/2006/relationships/hyperlink" Target="https://drive.google.com/file/d/1Ai_BmsVR89TCuJGboGz7iWqmVmWk_m2o/view?usp=drivesdk" TargetMode="External"/><Relationship Id="rId97" Type="http://schemas.openxmlformats.org/officeDocument/2006/relationships/hyperlink" Target="https://drive.google.com/file/d/1voUInRIsst_AW5kc0esiy45j_c6MXAIG/view?usp=drivesdk" TargetMode="External"/><Relationship Id="rId96" Type="http://schemas.openxmlformats.org/officeDocument/2006/relationships/hyperlink" Target="https://drive.google.com/file/d/1Cwogvb0GGwAdIOTGnPHBDrPSaMwqld70/view?usp=drivesdk" TargetMode="External"/><Relationship Id="rId11" Type="http://schemas.openxmlformats.org/officeDocument/2006/relationships/hyperlink" Target="https://drive.google.com/file/d/1s3GAFavrnc_z4BHNRk0U2ZroZF_a66dt/view?usp=drivesdk" TargetMode="External"/><Relationship Id="rId99" Type="http://schemas.openxmlformats.org/officeDocument/2006/relationships/hyperlink" Target="https://drive.google.com/file/d/1Xb38q8wT4jwlqgjPh1KY-O3kvblPaMwr/view?usp=drivesdk" TargetMode="External"/><Relationship Id="rId10" Type="http://schemas.openxmlformats.org/officeDocument/2006/relationships/hyperlink" Target="https://drive.google.com/file/d/1lttY9INnmQ0jjC1_Adnz6JeMJYwzAo-Y/view?usp=drivesdk" TargetMode="External"/><Relationship Id="rId98" Type="http://schemas.openxmlformats.org/officeDocument/2006/relationships/hyperlink" Target="https://drive.google.com/file/d/1FjkKT9_Kzk5hBGYW4PZs_u-7xBvLs_fL/view?usp=drivesdk" TargetMode="External"/><Relationship Id="rId13" Type="http://schemas.openxmlformats.org/officeDocument/2006/relationships/hyperlink" Target="https://drive.google.com/file/d/1RsVA1MqEnkBe0vjrrAdCych72xswtVoe/view?usp=drivesdk" TargetMode="External"/><Relationship Id="rId12" Type="http://schemas.openxmlformats.org/officeDocument/2006/relationships/hyperlink" Target="https://drive.google.com/file/d/1sbkt2tFeauZXWFsnwA6CVwpCGBsa3Ov9/view?usp=drivesdk" TargetMode="External"/><Relationship Id="rId91" Type="http://schemas.openxmlformats.org/officeDocument/2006/relationships/hyperlink" Target="https://drive.google.com/file/d/15xTPNjxDLLvkKCv5vyvgvZrlX92l9O_R/view?usp=drivesdk" TargetMode="External"/><Relationship Id="rId90" Type="http://schemas.openxmlformats.org/officeDocument/2006/relationships/hyperlink" Target="https://drive.google.com/file/d/1PreJbM6AgMbIkfziZgB6PRUmBRK1-dYl/view?usp=drivesdk" TargetMode="External"/><Relationship Id="rId93" Type="http://schemas.openxmlformats.org/officeDocument/2006/relationships/hyperlink" Target="https://drive.google.com/file/d/1ao3d9NtiBQsh21amW55SCqrjCWDi8sU2/view?usp=drivesdk" TargetMode="External"/><Relationship Id="rId92" Type="http://schemas.openxmlformats.org/officeDocument/2006/relationships/hyperlink" Target="https://drive.google.com/file/d/1cub2ChqTlW24sU8FuxHi5cS8nBoi2Hzl/view?usp=drivesdk" TargetMode="External"/><Relationship Id="rId118" Type="http://schemas.openxmlformats.org/officeDocument/2006/relationships/hyperlink" Target="https://drive.google.com/file/d/1iK2DjZz5sWyaa_fIPPZI6tsaleAIAygs/view?usp=drivesdk" TargetMode="External"/><Relationship Id="rId117" Type="http://schemas.openxmlformats.org/officeDocument/2006/relationships/hyperlink" Target="https://drive.google.com/file/d/1j9SxWqvQyj3m_ay8CK3WgQPPIs05su2R/view?usp=drivesdk" TargetMode="External"/><Relationship Id="rId116" Type="http://schemas.openxmlformats.org/officeDocument/2006/relationships/hyperlink" Target="https://drive.google.com/file/d/1p89bOGI0dcf7oKQM6f9z-IK55T21EJZU/view?usp=drivesdk" TargetMode="External"/><Relationship Id="rId115" Type="http://schemas.openxmlformats.org/officeDocument/2006/relationships/hyperlink" Target="https://drive.google.com/file/d/1Yk6IIYDsfm5Ob0xfu74Jb8sj7aQqPqyP/view?usp=drivesdk" TargetMode="External"/><Relationship Id="rId119" Type="http://schemas.openxmlformats.org/officeDocument/2006/relationships/hyperlink" Target="https://drive.google.com/file/d/1JKalGrL2DvP3eGWKDPkjkaBM0Il8ArKI/view?usp=drivesdk" TargetMode="External"/><Relationship Id="rId15" Type="http://schemas.openxmlformats.org/officeDocument/2006/relationships/hyperlink" Target="https://drive.google.com/file/d/1rBSm2ucP0SnwCp0nE2FzD2hVtS0MjVl0/view?usp=drivesdk" TargetMode="External"/><Relationship Id="rId110" Type="http://schemas.openxmlformats.org/officeDocument/2006/relationships/hyperlink" Target="https://drive.google.com/file/d/1ptAeLKaFGsHZbfGfsvQaWmc5-K4uB_lQ/view?usp=drivesdk" TargetMode="External"/><Relationship Id="rId14" Type="http://schemas.openxmlformats.org/officeDocument/2006/relationships/hyperlink" Target="https://drive.google.com/file/d/1Ww0uFI0vpxhKfdQ_A3BVrHL9FDWOMzLd/view?usp=drivesdk" TargetMode="External"/><Relationship Id="rId17" Type="http://schemas.openxmlformats.org/officeDocument/2006/relationships/hyperlink" Target="https://drive.google.com/file/d/1DEHzimbj4QyXWYuPKzWTB5kvMeK9prX5/view?usp=drivesdk" TargetMode="External"/><Relationship Id="rId16" Type="http://schemas.openxmlformats.org/officeDocument/2006/relationships/hyperlink" Target="https://drive.google.com/file/d/1BActeJSvsrRv8N4MtRdCd7SfVpjtz5Jv/view?usp=drivesdk" TargetMode="External"/><Relationship Id="rId19" Type="http://schemas.openxmlformats.org/officeDocument/2006/relationships/hyperlink" Target="https://drive.google.com/file/d/1Xb_k6_BtzIzH_ZLK0JDOAu6WXFk7Ay-P/view?usp=drivesdk" TargetMode="External"/><Relationship Id="rId114" Type="http://schemas.openxmlformats.org/officeDocument/2006/relationships/hyperlink" Target="https://drive.google.com/file/d/1de8Bym4FbQUb_yFHj90imF63jSvti33N/view?usp=drivesdk" TargetMode="External"/><Relationship Id="rId18" Type="http://schemas.openxmlformats.org/officeDocument/2006/relationships/hyperlink" Target="https://drive.google.com/file/d/1dXxUeOXPtEV6YewqUnQOii9VZsSuKXRb/view?usp=drivesdk" TargetMode="External"/><Relationship Id="rId113" Type="http://schemas.openxmlformats.org/officeDocument/2006/relationships/hyperlink" Target="https://drive.google.com/file/d/19wN21if27NerVtUr47508yU9qKbdpVGU/view?usp=drivesdk" TargetMode="External"/><Relationship Id="rId112" Type="http://schemas.openxmlformats.org/officeDocument/2006/relationships/hyperlink" Target="https://drive.google.com/file/d/1AFeOj590DxSneyXC92AXuXSNaGV1B4cq/view?usp=drivesdk" TargetMode="External"/><Relationship Id="rId111" Type="http://schemas.openxmlformats.org/officeDocument/2006/relationships/hyperlink" Target="https://drive.google.com/file/d/1SxGgfjUdaUOnhkXE4_bsA6uw3u7H7Nf0/view?usp=drivesdk" TargetMode="External"/><Relationship Id="rId84" Type="http://schemas.openxmlformats.org/officeDocument/2006/relationships/hyperlink" Target="https://drive.google.com/file/d/1N_OE068O56qyDLT7AhHo4eJfRTixwUBn/view?usp=drivesdk" TargetMode="External"/><Relationship Id="rId83" Type="http://schemas.openxmlformats.org/officeDocument/2006/relationships/hyperlink" Target="https://drive.google.com/file/d/1uVD647L7AtcKG7iwfC7klevDDfjsMADa/view?usp=drivesdk" TargetMode="External"/><Relationship Id="rId86" Type="http://schemas.openxmlformats.org/officeDocument/2006/relationships/hyperlink" Target="https://drive.google.com/file/d/1-mJBJOX85UQQb8aqu1pGg893y8H_BfV6/view?usp=drivesdk" TargetMode="External"/><Relationship Id="rId85" Type="http://schemas.openxmlformats.org/officeDocument/2006/relationships/hyperlink" Target="https://drive.google.com/file/d/1L3QllMImV2gRs0snV8oYcf-H2kRVjI_e/view?usp=drivesdk" TargetMode="External"/><Relationship Id="rId88" Type="http://schemas.openxmlformats.org/officeDocument/2006/relationships/hyperlink" Target="https://drive.google.com/file/d/1xwTPHpNMMfn1S3RxyrCsLlYOHB_5HzMj/view?usp=drivesdk" TargetMode="External"/><Relationship Id="rId87" Type="http://schemas.openxmlformats.org/officeDocument/2006/relationships/hyperlink" Target="https://drive.google.com/file/d/1PGlzzA7m8lu4M_TdeyJEkRF3TTDSYC0C/view?usp=drivesdk" TargetMode="External"/><Relationship Id="rId89" Type="http://schemas.openxmlformats.org/officeDocument/2006/relationships/hyperlink" Target="https://drive.google.com/file/d/1wbnLs4XZQDBqRIk5ldHBArvOGTi2G9Qm/view?usp=drivesdk" TargetMode="External"/><Relationship Id="rId80" Type="http://schemas.openxmlformats.org/officeDocument/2006/relationships/hyperlink" Target="https://drive.google.com/file/d/1PwJRZkTFPw_uNw0wBmzippQh0vX52NUb/view?usp=drivesdk" TargetMode="External"/><Relationship Id="rId82" Type="http://schemas.openxmlformats.org/officeDocument/2006/relationships/hyperlink" Target="https://drive.google.com/file/d/1px8V5GqYEB9MK2WKmpLNI-Ri6z2vEngt/view?usp=drivesdk" TargetMode="External"/><Relationship Id="rId81" Type="http://schemas.openxmlformats.org/officeDocument/2006/relationships/hyperlink" Target="https://drive.google.com/file/d/1fZjqm_APtB8hYvcJoRSIVoMifHQJUFJG/view?usp=drivesdk" TargetMode="External"/><Relationship Id="rId1" Type="http://schemas.openxmlformats.org/officeDocument/2006/relationships/comments" Target="../comments1.xml"/><Relationship Id="rId2" Type="http://schemas.openxmlformats.org/officeDocument/2006/relationships/hyperlink" Target="https://drive.google.com/file/d/10bWw75pOb9DMxt9Y0CSyjrhkc_XbETDg/view?usp=drivesdk" TargetMode="External"/><Relationship Id="rId3" Type="http://schemas.openxmlformats.org/officeDocument/2006/relationships/hyperlink" Target="https://drive.google.com/file/d/1AN8d1tHL7NtItKL0-at6B9Oxa9XtKWyH/view?usp=drivesdk" TargetMode="External"/><Relationship Id="rId4" Type="http://schemas.openxmlformats.org/officeDocument/2006/relationships/hyperlink" Target="https://drive.google.com/file/d/1Fz6qt2oG5qvUEJ8Vm56PCfy_PF3zf6G3/view?usp=drivesdk" TargetMode="External"/><Relationship Id="rId9" Type="http://schemas.openxmlformats.org/officeDocument/2006/relationships/hyperlink" Target="https://drive.google.com/file/d/1ssw9E3BRXh86Alau8psOkB1eHukK9BiY/view?usp=drivesdk" TargetMode="External"/><Relationship Id="rId5" Type="http://schemas.openxmlformats.org/officeDocument/2006/relationships/hyperlink" Target="https://drive.google.com/file/d/1iQUjirY2tabLobZXI5Mrs3YQwnfPyi1V/view?usp=drivesdk" TargetMode="External"/><Relationship Id="rId6" Type="http://schemas.openxmlformats.org/officeDocument/2006/relationships/hyperlink" Target="https://drive.google.com/file/d/1eQb5btn4JXBe-SgU1E-yPUb121VURyXe/view?usp=drivesdk" TargetMode="External"/><Relationship Id="rId7" Type="http://schemas.openxmlformats.org/officeDocument/2006/relationships/hyperlink" Target="https://drive.google.com/file/d/15BocJkP35xFxyFmwl0S5GerMonXyUHn5/view?usp=drivesdk" TargetMode="External"/><Relationship Id="rId8" Type="http://schemas.openxmlformats.org/officeDocument/2006/relationships/hyperlink" Target="https://drive.google.com/file/d/1qEMB8a3l8kccqBVMe3sqzgXpU6TjZm7D/view?usp=drivesdk" TargetMode="External"/><Relationship Id="rId73" Type="http://schemas.openxmlformats.org/officeDocument/2006/relationships/hyperlink" Target="https://drive.google.com/file/d/1svjUnoedOqXGPi7EvncdWPwMM_j9ySQr/view?usp=drivesdk" TargetMode="External"/><Relationship Id="rId72" Type="http://schemas.openxmlformats.org/officeDocument/2006/relationships/hyperlink" Target="https://drive.google.com/file/d/1ut7Gf7zOY54-KJ4ZcROAWpJ-oBhnb9sT/view?usp=drivesdk" TargetMode="External"/><Relationship Id="rId75" Type="http://schemas.openxmlformats.org/officeDocument/2006/relationships/hyperlink" Target="https://drive.google.com/file/d/16tuWxx7n40W41BVTF1UBMvkKWYlbsEz5/view?usp=drivesdk" TargetMode="External"/><Relationship Id="rId74" Type="http://schemas.openxmlformats.org/officeDocument/2006/relationships/hyperlink" Target="https://drive.google.com/file/d/147pXL2FW04DBPmYTmRNPJqEjd5eevYJt/view?usp=drivesdk" TargetMode="External"/><Relationship Id="rId77" Type="http://schemas.openxmlformats.org/officeDocument/2006/relationships/hyperlink" Target="https://drive.google.com/file/d/1XTkRZFs8ER9f-1HJOGYy7cVq-ArHa6Kw/view?usp=drivesdk" TargetMode="External"/><Relationship Id="rId76" Type="http://schemas.openxmlformats.org/officeDocument/2006/relationships/hyperlink" Target="https://drive.google.com/file/d/1dT8L6f7UAChrBDUz_6kG_ijqY3woWw8n/view?usp=drivesdk" TargetMode="External"/><Relationship Id="rId79" Type="http://schemas.openxmlformats.org/officeDocument/2006/relationships/hyperlink" Target="https://drive.google.com/file/d/1mFErAGPS34wLW9OGgJTZf32gekO6oIQx/view?usp=drivesdk" TargetMode="External"/><Relationship Id="rId78" Type="http://schemas.openxmlformats.org/officeDocument/2006/relationships/hyperlink" Target="https://drive.google.com/file/d/1fHBIxfxREd3RCtK7ezWZEJA9plpqxLBW/view?usp=drivesdk" TargetMode="External"/><Relationship Id="rId71" Type="http://schemas.openxmlformats.org/officeDocument/2006/relationships/hyperlink" Target="https://drive.google.com/file/d/182twXXt1JxyU55zRFA9UlcV4_hzUzOWT/view?usp=drivesdk" TargetMode="External"/><Relationship Id="rId70" Type="http://schemas.openxmlformats.org/officeDocument/2006/relationships/hyperlink" Target="https://drive.google.com/file/d/1_BwEZNszZPExiQc3f5OaMQK9wGr_xIt5/view?usp=drivesdk" TargetMode="External"/><Relationship Id="rId62" Type="http://schemas.openxmlformats.org/officeDocument/2006/relationships/hyperlink" Target="https://drive.google.com/file/d/1mdNznC-rgg5c46FVOi5tzv6mz_UVF87A/view?usp=drivesdk" TargetMode="External"/><Relationship Id="rId61" Type="http://schemas.openxmlformats.org/officeDocument/2006/relationships/hyperlink" Target="https://drive.google.com/file/d/1Hm2K6zbL-hi-rFhoc-RrHiHiG0S_bpZ5/view?usp=drivesdk" TargetMode="External"/><Relationship Id="rId64" Type="http://schemas.openxmlformats.org/officeDocument/2006/relationships/hyperlink" Target="https://drive.google.com/file/d/1goIx0KxMqm17kFx7dFUV8cCwrBeZSB_o/view?usp=drivesdk" TargetMode="External"/><Relationship Id="rId63" Type="http://schemas.openxmlformats.org/officeDocument/2006/relationships/hyperlink" Target="https://drive.google.com/file/d/1oMoa2RmHZLdOlyR-7XcKgYtA6p-LipEu/view?usp=drivesdk" TargetMode="External"/><Relationship Id="rId66" Type="http://schemas.openxmlformats.org/officeDocument/2006/relationships/hyperlink" Target="https://drive.google.com/file/d/1FF0ccaAWv6KPLGPfkmO8iweeDO87H56s/view?usp=drivesdk" TargetMode="External"/><Relationship Id="rId65" Type="http://schemas.openxmlformats.org/officeDocument/2006/relationships/hyperlink" Target="https://drive.google.com/file/d/16LFRQiS5PqBq1kBnKAv9r7sR88Y6d3w-/view?usp=drivesdk" TargetMode="External"/><Relationship Id="rId68" Type="http://schemas.openxmlformats.org/officeDocument/2006/relationships/hyperlink" Target="https://drive.google.com/file/d/1FLhG68w33BpBlc_IfUbu8tBtYDXJCENK/view?usp=drivesdk" TargetMode="External"/><Relationship Id="rId67" Type="http://schemas.openxmlformats.org/officeDocument/2006/relationships/hyperlink" Target="https://drive.google.com/file/d/15yP7lluD1q7xWXSqlduLGrwSfmfikfqx/view?usp=drivesdk" TargetMode="External"/><Relationship Id="rId60" Type="http://schemas.openxmlformats.org/officeDocument/2006/relationships/hyperlink" Target="https://drive.google.com/file/d/1Hpnq-nNRXNKuX67u3nseSK9Bv8NQEkAq/view?usp=drivesdk" TargetMode="External"/><Relationship Id="rId69" Type="http://schemas.openxmlformats.org/officeDocument/2006/relationships/hyperlink" Target="https://drive.google.com/file/d/1yP6yFtseZqqhVu1a7Ra3JM3PbAvicAor/view?usp=drivesdk" TargetMode="External"/><Relationship Id="rId51" Type="http://schemas.openxmlformats.org/officeDocument/2006/relationships/hyperlink" Target="https://drive.google.com/file/d/1FJzVzzJNLaWAetAc5Qhj21y6nlZ3kIau/view?usp=drivesdk" TargetMode="External"/><Relationship Id="rId50" Type="http://schemas.openxmlformats.org/officeDocument/2006/relationships/hyperlink" Target="https://drive.google.com/file/d/13XrKOUNtsMBzDDPar9mXJa7WaxdmVyFO/view?usp=drivesdk" TargetMode="External"/><Relationship Id="rId53" Type="http://schemas.openxmlformats.org/officeDocument/2006/relationships/hyperlink" Target="https://drive.google.com/file/d/1FIZAb2trgB07s35_HoYMKitNY-S1Ar-K/view?usp=drivesdk" TargetMode="External"/><Relationship Id="rId52" Type="http://schemas.openxmlformats.org/officeDocument/2006/relationships/hyperlink" Target="https://drive.google.com/file/d/1soxC6gaj3oexGOkZYu345fogiZdKEqlY/view?usp=drivesdk" TargetMode="External"/><Relationship Id="rId55" Type="http://schemas.openxmlformats.org/officeDocument/2006/relationships/hyperlink" Target="https://drive.google.com/file/d/1Dv7Jr4bRaxNjnmyZml7wEQBw4Yr55e70/view?usp=drivesdk" TargetMode="External"/><Relationship Id="rId54" Type="http://schemas.openxmlformats.org/officeDocument/2006/relationships/hyperlink" Target="https://drive.google.com/file/d/1KbRfKtwio-Jr63zIrv-aITvQGQBzGMe3/view?usp=drivesdk" TargetMode="External"/><Relationship Id="rId57" Type="http://schemas.openxmlformats.org/officeDocument/2006/relationships/hyperlink" Target="https://drive.google.com/file/d/1-AuoHy9V-84xhEhyIn1JMf26-6paJpvf/view?usp=drivesdk" TargetMode="External"/><Relationship Id="rId56" Type="http://schemas.openxmlformats.org/officeDocument/2006/relationships/hyperlink" Target="https://drive.google.com/file/d/1F1yYCEsQG8Q8ETIKuBv4755H0MinUMuB/view?usp=drivesdk" TargetMode="External"/><Relationship Id="rId59" Type="http://schemas.openxmlformats.org/officeDocument/2006/relationships/hyperlink" Target="https://drive.google.com/file/d/1HmYDe3DQpt2INoS4LdaTE6uLcU9BVEg2/view?usp=drivesdk" TargetMode="External"/><Relationship Id="rId58" Type="http://schemas.openxmlformats.org/officeDocument/2006/relationships/hyperlink" Target="https://drive.google.com/file/d/1VedbW8kKjeCzwziZK8VCssKmXD9DsE-c/view?usp=drivesdk"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drive.google.com/file/d/15yP7lluD1q7xWXSqlduLGrwSfmfikfqx/view?usp=drivesdk" TargetMode="External"/><Relationship Id="rId42" Type="http://schemas.openxmlformats.org/officeDocument/2006/relationships/hyperlink" Target="https://drive.google.com/file/d/1yP6yFtseZqqhVu1a7Ra3JM3PbAvicAor/view?usp=drivesdk" TargetMode="External"/><Relationship Id="rId41" Type="http://schemas.openxmlformats.org/officeDocument/2006/relationships/hyperlink" Target="https://drive.google.com/file/d/1FLhG68w33BpBlc_IfUbu8tBtYDXJCENK/view?usp=drivesdk" TargetMode="External"/><Relationship Id="rId44" Type="http://schemas.openxmlformats.org/officeDocument/2006/relationships/hyperlink" Target="https://drive.google.com/file/d/182twXXt1JxyU55zRFA9UlcV4_hzUzOWT/view?usp=drivesdk" TargetMode="External"/><Relationship Id="rId43" Type="http://schemas.openxmlformats.org/officeDocument/2006/relationships/hyperlink" Target="https://drive.google.com/file/d/1_BwEZNszZPExiQc3f5OaMQK9wGr_xIt5/view?usp=drivesdk" TargetMode="External"/><Relationship Id="rId46" Type="http://schemas.openxmlformats.org/officeDocument/2006/relationships/hyperlink" Target="https://drive.google.com/file/d/1svjUnoedOqXGPi7EvncdWPwMM_j9ySQr/view?usp=drivesdk" TargetMode="External"/><Relationship Id="rId45" Type="http://schemas.openxmlformats.org/officeDocument/2006/relationships/hyperlink" Target="https://drive.google.com/file/d/1ut7Gf7zOY54-KJ4ZcROAWpJ-oBhnb9sT/view?usp=drivesdk" TargetMode="External"/><Relationship Id="rId48" Type="http://schemas.openxmlformats.org/officeDocument/2006/relationships/hyperlink" Target="https://drive.google.com/file/d/16tuWxx7n40W41BVTF1UBMvkKWYlbsEz5/view?usp=drivesdk" TargetMode="External"/><Relationship Id="rId47" Type="http://schemas.openxmlformats.org/officeDocument/2006/relationships/hyperlink" Target="https://drive.google.com/file/d/147pXL2FW04DBPmYTmRNPJqEjd5eevYJt/view?usp=drivesdk" TargetMode="External"/><Relationship Id="rId49" Type="http://schemas.openxmlformats.org/officeDocument/2006/relationships/hyperlink" Target="https://drive.google.com/file/d/1dT8L6f7UAChrBDUz_6kG_ijqY3woWw8n/view?usp=drivesdk" TargetMode="External"/><Relationship Id="rId31" Type="http://schemas.openxmlformats.org/officeDocument/2006/relationships/hyperlink" Target="https://drive.google.com/file/d/1F1yYCEsQG8Q8ETIKuBv4755H0MinUMuB/view?usp=drivesdk" TargetMode="External"/><Relationship Id="rId30" Type="http://schemas.openxmlformats.org/officeDocument/2006/relationships/hyperlink" Target="https://drive.google.com/file/d/1Dv7Jr4bRaxNjnmyZml7wEQBw4Yr55e70/view?usp=drivesdk" TargetMode="External"/><Relationship Id="rId33" Type="http://schemas.openxmlformats.org/officeDocument/2006/relationships/hyperlink" Target="https://drive.google.com/file/d/1HmYDe3DQpt2INoS4LdaTE6uLcU9BVEg2/view?usp=drivesdk" TargetMode="External"/><Relationship Id="rId32" Type="http://schemas.openxmlformats.org/officeDocument/2006/relationships/hyperlink" Target="https://drive.google.com/file/d/1VedbW8kKjeCzwziZK8VCssKmXD9DsE-c/view?usp=drivesdk" TargetMode="External"/><Relationship Id="rId35" Type="http://schemas.openxmlformats.org/officeDocument/2006/relationships/hyperlink" Target="https://drive.google.com/file/d/1Hm2K6zbL-hi-rFhoc-RrHiHiG0S_bpZ5/view?usp=drivesdk" TargetMode="External"/><Relationship Id="rId34" Type="http://schemas.openxmlformats.org/officeDocument/2006/relationships/hyperlink" Target="https://drive.google.com/file/d/1Hpnq-nNRXNKuX67u3nseSK9Bv8NQEkAq/view?usp=drivesdk" TargetMode="External"/><Relationship Id="rId37" Type="http://schemas.openxmlformats.org/officeDocument/2006/relationships/hyperlink" Target="https://drive.google.com/file/d/1goIx0KxMqm17kFx7dFUV8cCwrBeZSB_o/view?usp=drivesdk" TargetMode="External"/><Relationship Id="rId36" Type="http://schemas.openxmlformats.org/officeDocument/2006/relationships/hyperlink" Target="https://drive.google.com/file/d/1mdNznC-rgg5c46FVOi5tzv6mz_UVF87A/view?usp=drivesdk" TargetMode="External"/><Relationship Id="rId39" Type="http://schemas.openxmlformats.org/officeDocument/2006/relationships/hyperlink" Target="https://drive.google.com/file/d/1FF0ccaAWv6KPLGPfkmO8iweeDO87H56s/view?usp=drivesdk" TargetMode="External"/><Relationship Id="rId38" Type="http://schemas.openxmlformats.org/officeDocument/2006/relationships/hyperlink" Target="https://drive.google.com/file/d/16LFRQiS5PqBq1kBnKAv9r7sR88Y6d3w-/view?usp=drivesdk" TargetMode="External"/><Relationship Id="rId20" Type="http://schemas.openxmlformats.org/officeDocument/2006/relationships/hyperlink" Target="https://drive.google.com/file/d/1oxTYY6BLGRw8xIn2_0Jzz3dQ9p20yLP3/view?usp=drivesdk" TargetMode="External"/><Relationship Id="rId22" Type="http://schemas.openxmlformats.org/officeDocument/2006/relationships/hyperlink" Target="https://drive.google.com/file/d/1z7kzKoxos6VKXtKO_ywRDoiG87mNU4dH/view?usp=drivesdk" TargetMode="External"/><Relationship Id="rId21" Type="http://schemas.openxmlformats.org/officeDocument/2006/relationships/hyperlink" Target="https://drive.google.com/file/d/1R_1YUy31pZm-UJIWrBTLzuaDID9Mdyzh/view?usp=drivesdk" TargetMode="External"/><Relationship Id="rId24" Type="http://schemas.openxmlformats.org/officeDocument/2006/relationships/hyperlink" Target="https://drive.google.com/file/d/1mkSwRg2QOZrADXwP58d4h93bJvEP3hi8/view?usp=drivesdk" TargetMode="External"/><Relationship Id="rId23" Type="http://schemas.openxmlformats.org/officeDocument/2006/relationships/hyperlink" Target="https://drive.google.com/file/d/19eP6p2_v0F3S93vn7k0wn75-TCNACA5y/view?usp=drivesdk" TargetMode="External"/><Relationship Id="rId26" Type="http://schemas.openxmlformats.org/officeDocument/2006/relationships/hyperlink" Target="https://drive.google.com/file/d/1XUC5GzzfWetpQkjZVx8sV5oAYZWOCJSO/view?usp=drivesdk" TargetMode="External"/><Relationship Id="rId25" Type="http://schemas.openxmlformats.org/officeDocument/2006/relationships/hyperlink" Target="https://drive.google.com/file/d/1cmFABR1LVpL-gYHpT0uLuX8B5-ujj2T-/view?usp=drivesdk" TargetMode="External"/><Relationship Id="rId28" Type="http://schemas.openxmlformats.org/officeDocument/2006/relationships/hyperlink" Target="https://drive.google.com/file/d/1kNE9IBABrhY_7PjA6gFHgFvOls6YW_4s/view?usp=drivesdk" TargetMode="External"/><Relationship Id="rId27" Type="http://schemas.openxmlformats.org/officeDocument/2006/relationships/hyperlink" Target="https://drive.google.com/file/d/18Cb_c64Wenr84sueJjY-qkT7VE8ss2Zi/view?usp=drivesdk" TargetMode="External"/><Relationship Id="rId29" Type="http://schemas.openxmlformats.org/officeDocument/2006/relationships/hyperlink" Target="https://drive.google.com/file/d/1KbRfKtwio-Jr63zIrv-aITvQGQBzGMe3/view?usp=drivesdk" TargetMode="External"/><Relationship Id="rId95" Type="http://schemas.openxmlformats.org/officeDocument/2006/relationships/hyperlink" Target="https://drive.google.com/file/d/1fkqghclV8iAJLWcxkk5wfCiHVVl_JXgK/view?usp=drivesdk" TargetMode="External"/><Relationship Id="rId94" Type="http://schemas.openxmlformats.org/officeDocument/2006/relationships/hyperlink" Target="https://drive.google.com/file/d/1eoc2OFoNIs-fQ7Egh2bKG9HRczj0PMuS/view?usp=drivesdk" TargetMode="External"/><Relationship Id="rId96" Type="http://schemas.openxmlformats.org/officeDocument/2006/relationships/drawing" Target="../drawings/drawing3.xml"/><Relationship Id="rId11" Type="http://schemas.openxmlformats.org/officeDocument/2006/relationships/hyperlink" Target="https://drive.google.com/file/d/1srLQ1h21fHU_ye7_nMVTadrjlXGbSkDq/view?usp=drivesdk" TargetMode="External"/><Relationship Id="rId10" Type="http://schemas.openxmlformats.org/officeDocument/2006/relationships/hyperlink" Target="https://drive.google.com/file/d/1qYmOcFmG2TI2FKekQ49Zjt3EOBflTAJd/view?usp=drivesdk" TargetMode="External"/><Relationship Id="rId13" Type="http://schemas.openxmlformats.org/officeDocument/2006/relationships/hyperlink" Target="https://drive.google.com/file/d/1hjaS2zR8Tpt1cGooXxs2hOeIvPydMzdO/view?usp=drivesdk" TargetMode="External"/><Relationship Id="rId12" Type="http://schemas.openxmlformats.org/officeDocument/2006/relationships/hyperlink" Target="https://drive.google.com/file/d/1voZUA2dViR3RpxF6fcgjhKa1Anl_GsaO/view?usp=drivesdk" TargetMode="External"/><Relationship Id="rId91" Type="http://schemas.openxmlformats.org/officeDocument/2006/relationships/hyperlink" Target="https://drive.google.com/file/d/1eLnSsvZSKBBKj7NQ--dvcsZx9TU9LQDC/view?usp=drivesdk" TargetMode="External"/><Relationship Id="rId90" Type="http://schemas.openxmlformats.org/officeDocument/2006/relationships/hyperlink" Target="https://drive.google.com/file/d/1BzvkvJ1do8y5b3TgYMIYNWa15XtOI6Z_/view?usp=drivesdk" TargetMode="External"/><Relationship Id="rId93" Type="http://schemas.openxmlformats.org/officeDocument/2006/relationships/hyperlink" Target="https://drive.google.com/file/d/1Kyd6IFfLtEowgoPt22fOSYFvlzJCjAWV/view?usp=drivesdk" TargetMode="External"/><Relationship Id="rId92" Type="http://schemas.openxmlformats.org/officeDocument/2006/relationships/hyperlink" Target="https://drive.google.com/file/d/1PQx1RyY7p2Q5q_56BvgzlRoYgL7Q0zFl/view?usp=drivesdk" TargetMode="External"/><Relationship Id="rId15" Type="http://schemas.openxmlformats.org/officeDocument/2006/relationships/hyperlink" Target="https://drive.google.com/file/d/1PZ5scN29x1R1R-yWGPw9qp0dpdxYjB9d/view?usp=drivesdk" TargetMode="External"/><Relationship Id="rId14" Type="http://schemas.openxmlformats.org/officeDocument/2006/relationships/hyperlink" Target="https://drive.google.com/file/d/1R4zCXk-o0JCpWIubjfTl5mCMiYXxoNN8/view?usp=drivesdk" TargetMode="External"/><Relationship Id="rId17" Type="http://schemas.openxmlformats.org/officeDocument/2006/relationships/hyperlink" Target="https://drive.google.com/file/d/1PuXTdPuvKu8M0n3oVVN8e8JBqPZkOO5u/view?usp=drivesdk" TargetMode="External"/><Relationship Id="rId16" Type="http://schemas.openxmlformats.org/officeDocument/2006/relationships/hyperlink" Target="https://drive.google.com/file/d/15HCAJkfSXN_EVoLCmKCKs8AOs2Y8Tq4I/view?usp=drivesdk" TargetMode="External"/><Relationship Id="rId19" Type="http://schemas.openxmlformats.org/officeDocument/2006/relationships/hyperlink" Target="https://drive.google.com/file/d/1R5JvdHVdtgDyow-kcQ4MbMfb2pnvfpEm/view?usp=drivesdk" TargetMode="External"/><Relationship Id="rId18" Type="http://schemas.openxmlformats.org/officeDocument/2006/relationships/hyperlink" Target="https://drive.google.com/file/d/1arYWZK47gCtLuS1gNfkt--rrR-Eb2so5/view?usp=drivesdk" TargetMode="External"/><Relationship Id="rId84" Type="http://schemas.openxmlformats.org/officeDocument/2006/relationships/hyperlink" Target="https://drive.google.com/file/d/1de8Bym4FbQUb_yFHj90imF63jSvti33N/view?usp=drivesdk" TargetMode="External"/><Relationship Id="rId83" Type="http://schemas.openxmlformats.org/officeDocument/2006/relationships/hyperlink" Target="https://drive.google.com/file/d/19wN21if27NerVtUr47508yU9qKbdpVGU/view?usp=drivesdk" TargetMode="External"/><Relationship Id="rId86" Type="http://schemas.openxmlformats.org/officeDocument/2006/relationships/hyperlink" Target="https://drive.google.com/file/d/1p89bOGI0dcf7oKQM6f9z-IK55T21EJZU/view?usp=drivesdk" TargetMode="External"/><Relationship Id="rId85" Type="http://schemas.openxmlformats.org/officeDocument/2006/relationships/hyperlink" Target="https://drive.google.com/file/d/1Yk6IIYDsfm5Ob0xfu74Jb8sj7aQqPqyP/view?usp=drivesdk" TargetMode="External"/><Relationship Id="rId88" Type="http://schemas.openxmlformats.org/officeDocument/2006/relationships/hyperlink" Target="https://drive.google.com/file/d/1iK2DjZz5sWyaa_fIPPZI6tsaleAIAygs/view?usp=drivesdk" TargetMode="External"/><Relationship Id="rId87" Type="http://schemas.openxmlformats.org/officeDocument/2006/relationships/hyperlink" Target="https://drive.google.com/file/d/1j9SxWqvQyj3m_ay8CK3WgQPPIs05su2R/view?usp=drivesdk" TargetMode="External"/><Relationship Id="rId89" Type="http://schemas.openxmlformats.org/officeDocument/2006/relationships/hyperlink" Target="https://drive.google.com/file/d/1JKalGrL2DvP3eGWKDPkjkaBM0Il8ArKI/view?usp=drivesdk" TargetMode="External"/><Relationship Id="rId80" Type="http://schemas.openxmlformats.org/officeDocument/2006/relationships/hyperlink" Target="https://drive.google.com/file/d/1ptAeLKaFGsHZbfGfsvQaWmc5-K4uB_lQ/view?usp=drivesdk" TargetMode="External"/><Relationship Id="rId82" Type="http://schemas.openxmlformats.org/officeDocument/2006/relationships/hyperlink" Target="https://drive.google.com/file/d/1AFeOj590DxSneyXC92AXuXSNaGV1B4cq/view?usp=drivesdk" TargetMode="External"/><Relationship Id="rId81" Type="http://schemas.openxmlformats.org/officeDocument/2006/relationships/hyperlink" Target="https://drive.google.com/file/d/1SxGgfjUdaUOnhkXE4_bsA6uw3u7H7Nf0/view?usp=drivesdk" TargetMode="External"/><Relationship Id="rId1" Type="http://schemas.openxmlformats.org/officeDocument/2006/relationships/hyperlink" Target="https://drive.google.com/file/d/15BocJkP35xFxyFmwl0S5GerMonXyUHn5/view?usp=drivesdk" TargetMode="External"/><Relationship Id="rId2" Type="http://schemas.openxmlformats.org/officeDocument/2006/relationships/hyperlink" Target="https://drive.google.com/file/d/1qEMB8a3l8kccqBVMe3sqzgXpU6TjZm7D/view?usp=drivesdk" TargetMode="External"/><Relationship Id="rId3" Type="http://schemas.openxmlformats.org/officeDocument/2006/relationships/hyperlink" Target="https://drive.google.com/file/d/1s3GAFavrnc_z4BHNRk0U2ZroZF_a66dt/view?usp=drivesdk" TargetMode="External"/><Relationship Id="rId4" Type="http://schemas.openxmlformats.org/officeDocument/2006/relationships/hyperlink" Target="https://drive.google.com/file/d/1sbkt2tFeauZXWFsnwA6CVwpCGBsa3Ov9/view?usp=drivesdk" TargetMode="External"/><Relationship Id="rId9" Type="http://schemas.openxmlformats.org/officeDocument/2006/relationships/hyperlink" Target="https://drive.google.com/file/d/1vJ8mHsWWVgJuAGy629H2F9cgYLRM4U6z/view?usp=drivesdk" TargetMode="External"/><Relationship Id="rId5" Type="http://schemas.openxmlformats.org/officeDocument/2006/relationships/hyperlink" Target="https://drive.google.com/file/d/1Ww0uFI0vpxhKfdQ_A3BVrHL9FDWOMzLd/view?usp=drivesdk" TargetMode="External"/><Relationship Id="rId6" Type="http://schemas.openxmlformats.org/officeDocument/2006/relationships/hyperlink" Target="https://drive.google.com/file/d/1rBSm2ucP0SnwCp0nE2FzD2hVtS0MjVl0/view?usp=drivesdk" TargetMode="External"/><Relationship Id="rId7" Type="http://schemas.openxmlformats.org/officeDocument/2006/relationships/hyperlink" Target="https://drive.google.com/file/d/1DEHzimbj4QyXWYuPKzWTB5kvMeK9prX5/view?usp=drivesdk" TargetMode="External"/><Relationship Id="rId8" Type="http://schemas.openxmlformats.org/officeDocument/2006/relationships/hyperlink" Target="https://drive.google.com/file/d/1Xb_k6_BtzIzH_ZLK0JDOAu6WXFk7Ay-P/view?usp=drivesdk" TargetMode="External"/><Relationship Id="rId73" Type="http://schemas.openxmlformats.org/officeDocument/2006/relationships/hyperlink" Target="https://drive.google.com/file/d/1smuY_2hd1QUuQf4C892keGJjMM2bRPRi/view?usp=drivesdk" TargetMode="External"/><Relationship Id="rId72" Type="http://schemas.openxmlformats.org/officeDocument/2006/relationships/hyperlink" Target="https://drive.google.com/file/d/1ZfqwFP_Scy_xV2ChB5qKie7F49FGqAlg/view?usp=drivesdk" TargetMode="External"/><Relationship Id="rId75" Type="http://schemas.openxmlformats.org/officeDocument/2006/relationships/hyperlink" Target="https://drive.google.com/file/d/15_6Nc3MpZaQptyOHPFaDVMuW1Jd_ETeO/view?usp=drivesdk" TargetMode="External"/><Relationship Id="rId74" Type="http://schemas.openxmlformats.org/officeDocument/2006/relationships/hyperlink" Target="https://drive.google.com/file/d/1GElTOfmMbne00ncJjNGmH3aON6iXTjng/view?usp=drivesdk" TargetMode="External"/><Relationship Id="rId77" Type="http://schemas.openxmlformats.org/officeDocument/2006/relationships/hyperlink" Target="https://drive.google.com/file/d/1QmXlZAA_7Ea0pdZlqLY_rSDOmapyfoHV/view?usp=drivesdk" TargetMode="External"/><Relationship Id="rId76" Type="http://schemas.openxmlformats.org/officeDocument/2006/relationships/hyperlink" Target="https://drive.google.com/file/d/1Faa8xfbUwuEaEfjLzU8KEef6dzgaTKZ_/view?usp=drivesdk" TargetMode="External"/><Relationship Id="rId79" Type="http://schemas.openxmlformats.org/officeDocument/2006/relationships/hyperlink" Target="https://drive.google.com/file/d/1gF7qMgdX66CiZ1EzYIzjSkelyUwWwr9s/view?usp=drivesdk" TargetMode="External"/><Relationship Id="rId78" Type="http://schemas.openxmlformats.org/officeDocument/2006/relationships/hyperlink" Target="https://drive.google.com/file/d/1xFPPkAxP94ImK2QoLu31vw-iq4scCq5K/view?usp=drivesdk" TargetMode="External"/><Relationship Id="rId71" Type="http://schemas.openxmlformats.org/officeDocument/2006/relationships/hyperlink" Target="https://drive.google.com/file/d/1uaXKNt2HtzgMzhj1UeWJXvoWvCiGwhgd/view?usp=drivesdk" TargetMode="External"/><Relationship Id="rId70" Type="http://schemas.openxmlformats.org/officeDocument/2006/relationships/hyperlink" Target="https://drive.google.com/file/d/1SKN5Z67Km-uxKo9bIfbn30E4_52YeooY/view?usp=drivesdk" TargetMode="External"/><Relationship Id="rId62" Type="http://schemas.openxmlformats.org/officeDocument/2006/relationships/hyperlink" Target="https://drive.google.com/file/d/15xTPNjxDLLvkKCv5vyvgvZrlX92l9O_R/view?usp=drivesdk" TargetMode="External"/><Relationship Id="rId61" Type="http://schemas.openxmlformats.org/officeDocument/2006/relationships/hyperlink" Target="https://drive.google.com/file/d/1PreJbM6AgMbIkfziZgB6PRUmBRK1-dYl/view?usp=drivesdk" TargetMode="External"/><Relationship Id="rId64" Type="http://schemas.openxmlformats.org/officeDocument/2006/relationships/hyperlink" Target="https://drive.google.com/file/d/1ao3d9NtiBQsh21amW55SCqrjCWDi8sU2/view?usp=drivesdk" TargetMode="External"/><Relationship Id="rId63" Type="http://schemas.openxmlformats.org/officeDocument/2006/relationships/hyperlink" Target="https://drive.google.com/file/d/1cub2ChqTlW24sU8FuxHi5cS8nBoi2Hzl/view?usp=drivesdk" TargetMode="External"/><Relationship Id="rId66" Type="http://schemas.openxmlformats.org/officeDocument/2006/relationships/hyperlink" Target="https://drive.google.com/file/d/1Cwogvb0GGwAdIOTGnPHBDrPSaMwqld70/view?usp=drivesdk" TargetMode="External"/><Relationship Id="rId65" Type="http://schemas.openxmlformats.org/officeDocument/2006/relationships/hyperlink" Target="https://drive.google.com/file/d/1kfD2rASJ94nlhHzLTCGNn6ZOhWU8PF9e/view?usp=drivesdk" TargetMode="External"/><Relationship Id="rId68" Type="http://schemas.openxmlformats.org/officeDocument/2006/relationships/hyperlink" Target="https://drive.google.com/file/d/1FjkKT9_Kzk5hBGYW4PZs_u-7xBvLs_fL/view?usp=drivesdk" TargetMode="External"/><Relationship Id="rId67" Type="http://schemas.openxmlformats.org/officeDocument/2006/relationships/hyperlink" Target="https://drive.google.com/file/d/1voUInRIsst_AW5kc0esiy45j_c6MXAIG/view?usp=drivesdk" TargetMode="External"/><Relationship Id="rId60" Type="http://schemas.openxmlformats.org/officeDocument/2006/relationships/hyperlink" Target="https://drive.google.com/file/d/1xwTPHpNMMfn1S3RxyrCsLlYOHB_5HzMj/view?usp=drivesdk" TargetMode="External"/><Relationship Id="rId69" Type="http://schemas.openxmlformats.org/officeDocument/2006/relationships/hyperlink" Target="https://drive.google.com/file/d/1Xb38q8wT4jwlqgjPh1KY-O3kvblPaMwr/view?usp=drivesdk" TargetMode="External"/><Relationship Id="rId51" Type="http://schemas.openxmlformats.org/officeDocument/2006/relationships/hyperlink" Target="https://drive.google.com/file/d/1mFErAGPS34wLW9OGgJTZf32gekO6oIQx/view?usp=drivesdk" TargetMode="External"/><Relationship Id="rId50" Type="http://schemas.openxmlformats.org/officeDocument/2006/relationships/hyperlink" Target="https://drive.google.com/file/d/1fHBIxfxREd3RCtK7ezWZEJA9plpqxLBW/view?usp=drivesdk" TargetMode="External"/><Relationship Id="rId53" Type="http://schemas.openxmlformats.org/officeDocument/2006/relationships/hyperlink" Target="https://drive.google.com/file/d/1fZjqm_APtB8hYvcJoRSIVoMifHQJUFJG/view?usp=drivesdk" TargetMode="External"/><Relationship Id="rId52" Type="http://schemas.openxmlformats.org/officeDocument/2006/relationships/hyperlink" Target="https://drive.google.com/file/d/1PwJRZkTFPw_uNw0wBmzippQh0vX52NUb/view?usp=drivesdk" TargetMode="External"/><Relationship Id="rId55" Type="http://schemas.openxmlformats.org/officeDocument/2006/relationships/hyperlink" Target="https://drive.google.com/file/d/1uVD647L7AtcKG7iwfC7klevDDfjsMADa/view?usp=drivesdk" TargetMode="External"/><Relationship Id="rId54" Type="http://schemas.openxmlformats.org/officeDocument/2006/relationships/hyperlink" Target="https://drive.google.com/file/d/1px8V5GqYEB9MK2WKmpLNI-Ri6z2vEngt/view?usp=drivesdk" TargetMode="External"/><Relationship Id="rId57" Type="http://schemas.openxmlformats.org/officeDocument/2006/relationships/hyperlink" Target="https://drive.google.com/file/d/1L3QllMImV2gRs0snV8oYcf-H2kRVjI_e/view?usp=drivesdk" TargetMode="External"/><Relationship Id="rId56" Type="http://schemas.openxmlformats.org/officeDocument/2006/relationships/hyperlink" Target="https://drive.google.com/file/d/1N_OE068O56qyDLT7AhHo4eJfRTixwUBn/view?usp=drivesdk" TargetMode="External"/><Relationship Id="rId59" Type="http://schemas.openxmlformats.org/officeDocument/2006/relationships/hyperlink" Target="https://drive.google.com/file/d/1PGlzzA7m8lu4M_TdeyJEkRF3TTDSYC0C/view?usp=drivesdk" TargetMode="External"/><Relationship Id="rId58" Type="http://schemas.openxmlformats.org/officeDocument/2006/relationships/hyperlink" Target="https://drive.google.com/file/d/1-mJBJOX85UQQb8aqu1pGg893y8H_BfV6/view?usp=drivesdk"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40" Type="http://schemas.openxmlformats.org/officeDocument/2006/relationships/hyperlink" Target="https://drive.google.com/drive/folders/1RKg7fcwXK6PYgFbHTtucI_9ceJFmtBrD" TargetMode="External"/><Relationship Id="rId190" Type="http://schemas.openxmlformats.org/officeDocument/2006/relationships/hyperlink" Target="https://drive.google.com/drive/folders/1MsYVW-GxewzS__aFWsF26N4hR6PC1uLG" TargetMode="External"/><Relationship Id="rId42" Type="http://schemas.openxmlformats.org/officeDocument/2006/relationships/hyperlink" Target="https://drive.google.com/drive/folders/1m9_WPz7FU_K3PC9LhURLsi4zlx103qSE" TargetMode="External"/><Relationship Id="rId41" Type="http://schemas.openxmlformats.org/officeDocument/2006/relationships/hyperlink" Target="https://drive.google.com/drive/folders/1HjKv7qgr5FJ04g6TE3aFcrbQyUJQpoMp" TargetMode="External"/><Relationship Id="rId44" Type="http://schemas.openxmlformats.org/officeDocument/2006/relationships/hyperlink" Target="https://drive.google.com/drive/folders/11RO8dxhrQiSbksh0Y9eDuc3Zw_nFb3sV" TargetMode="External"/><Relationship Id="rId194" Type="http://schemas.openxmlformats.org/officeDocument/2006/relationships/hyperlink" Target="https://drive.google.com/drive/folders/1gAHfnvsW815PXKwd9RpUmcLimDtNpqs0" TargetMode="External"/><Relationship Id="rId43" Type="http://schemas.openxmlformats.org/officeDocument/2006/relationships/hyperlink" Target="https://drive.google.com/drive/folders/18jMR6M-5K5s-6LMJxIrKNRq9fU--kIFd" TargetMode="External"/><Relationship Id="rId193" Type="http://schemas.openxmlformats.org/officeDocument/2006/relationships/hyperlink" Target="https://drive.google.com/drive/folders/1cbnY-LeSzHqOrzKlV0tXiWs8WrOYi_rB" TargetMode="External"/><Relationship Id="rId46" Type="http://schemas.openxmlformats.org/officeDocument/2006/relationships/hyperlink" Target="https://drive.google.com/drive/folders/1VeDwS5cZE5QXU4HhorUAkt81CIabqp1y" TargetMode="External"/><Relationship Id="rId192" Type="http://schemas.openxmlformats.org/officeDocument/2006/relationships/hyperlink" Target="https://drive.google.com/drive/folders/1beScF4jdIAWVFyNdhftecz_XnhPXHgvs" TargetMode="External"/><Relationship Id="rId45" Type="http://schemas.openxmlformats.org/officeDocument/2006/relationships/hyperlink" Target="https://drive.google.com/drive/folders/18jjB4pWhaK13OUHdxyQBoTFyLQ_j-H0L" TargetMode="External"/><Relationship Id="rId191" Type="http://schemas.openxmlformats.org/officeDocument/2006/relationships/hyperlink" Target="https://drive.google.com/drive/folders/1aDXeo3HCo517xrmw6Ja86UbM6FWPW_6F" TargetMode="External"/><Relationship Id="rId48" Type="http://schemas.openxmlformats.org/officeDocument/2006/relationships/hyperlink" Target="https://drive.google.com/drive/folders/1A839n54U1_p4eCfmOJDJbNyU8OBHwifz" TargetMode="External"/><Relationship Id="rId187" Type="http://schemas.openxmlformats.org/officeDocument/2006/relationships/hyperlink" Target="https://drive.google.com/drive/folders/10XDrSvc7qD1EobyycKGWNOxjp0CacoDM" TargetMode="External"/><Relationship Id="rId47" Type="http://schemas.openxmlformats.org/officeDocument/2006/relationships/hyperlink" Target="https://drive.google.com/drive/folders/1jgAhDlscMzK2eTN6CKW5IrDqqJZL1ewi" TargetMode="External"/><Relationship Id="rId186" Type="http://schemas.openxmlformats.org/officeDocument/2006/relationships/hyperlink" Target="https://drive.google.com/drive/folders/10WeDksjC1pjqbPlw3keTeMsCfvCp-4fq" TargetMode="External"/><Relationship Id="rId185" Type="http://schemas.openxmlformats.org/officeDocument/2006/relationships/hyperlink" Target="https://drive.google.com/drive/folders/1fPwin6BB4iC9MyQ9vbKRBzaYmKbPpZyI" TargetMode="External"/><Relationship Id="rId49" Type="http://schemas.openxmlformats.org/officeDocument/2006/relationships/hyperlink" Target="https://drive.google.com/drive/folders/16A_k_or_fy_W05-yZjgtSoGxGRSXU50v" TargetMode="External"/><Relationship Id="rId184" Type="http://schemas.openxmlformats.org/officeDocument/2006/relationships/hyperlink" Target="https://drive.google.com/drive/folders/1tBhmm-AwxrCGYSPG_8YuL_D2aLHe9mE4" TargetMode="External"/><Relationship Id="rId189" Type="http://schemas.openxmlformats.org/officeDocument/2006/relationships/hyperlink" Target="https://drive.google.com/drive/folders/11oY9rJ8L5RkN3Vih6RhVACwNAAD-dcTR" TargetMode="External"/><Relationship Id="rId188" Type="http://schemas.openxmlformats.org/officeDocument/2006/relationships/hyperlink" Target="https://drive.google.com/drive/folders/1CPWgi9QS2sfzdyWxDQUpuDr-fMsGiRIO" TargetMode="External"/><Relationship Id="rId31" Type="http://schemas.openxmlformats.org/officeDocument/2006/relationships/hyperlink" Target="https://drive.google.com/drive/folders/1c64VHmeJsgZCV5aVWJ9nALQ1DHvmBmqC" TargetMode="External"/><Relationship Id="rId30" Type="http://schemas.openxmlformats.org/officeDocument/2006/relationships/hyperlink" Target="https://drive.google.com/drive/folders/1Dn3jdnRpqT1RJw_9bI7v50yqENhtGG9H" TargetMode="External"/><Relationship Id="rId33" Type="http://schemas.openxmlformats.org/officeDocument/2006/relationships/hyperlink" Target="https://drive.google.com/drive/folders/1kM3CFVetJLSgR5F5LM6zhweInMLyAIbz" TargetMode="External"/><Relationship Id="rId183" Type="http://schemas.openxmlformats.org/officeDocument/2006/relationships/hyperlink" Target="https://drive.google.com/drive/folders/1lZ4bW245cmf9hfgQaHLLHk0pIyu-o57c" TargetMode="External"/><Relationship Id="rId32" Type="http://schemas.openxmlformats.org/officeDocument/2006/relationships/hyperlink" Target="https://drive.google.com/drive/folders/1U_l8qnb0sycTSW5O9g0udrf7GS4OLHyM" TargetMode="External"/><Relationship Id="rId182" Type="http://schemas.openxmlformats.org/officeDocument/2006/relationships/hyperlink" Target="https://drive.google.com/drive/folders/1dH6lnJ3yTWkMqxyYZSDx9OlXe65KWVl3" TargetMode="External"/><Relationship Id="rId35" Type="http://schemas.openxmlformats.org/officeDocument/2006/relationships/hyperlink" Target="https://drive.google.com/drive/folders/1PpwRpG0-rvGrqqvG_2WkN0ce50fjxH3_" TargetMode="External"/><Relationship Id="rId181" Type="http://schemas.openxmlformats.org/officeDocument/2006/relationships/hyperlink" Target="https://drive.google.com/drive/folders/18TvRwa3OomGVWpPpk7W70oRJYTTf0hcJ" TargetMode="External"/><Relationship Id="rId34" Type="http://schemas.openxmlformats.org/officeDocument/2006/relationships/hyperlink" Target="https://drive.google.com/drive/folders/1rCCPzxFdmmgQdbBIuAqilh1t4XBBy-YU" TargetMode="External"/><Relationship Id="rId180" Type="http://schemas.openxmlformats.org/officeDocument/2006/relationships/hyperlink" Target="https://drive.google.com/drive/folders/13uEnHohfif4zDwVjc5iJa67v-xF3zPiV" TargetMode="External"/><Relationship Id="rId37" Type="http://schemas.openxmlformats.org/officeDocument/2006/relationships/hyperlink" Target="https://drive.google.com/drive/folders/10_8mzAfxO05iacRFMDpL1LoGGAOMxx06" TargetMode="External"/><Relationship Id="rId176" Type="http://schemas.openxmlformats.org/officeDocument/2006/relationships/hyperlink" Target="https://drive.google.com/drive/folders/1nQEOx3TqbElnIfvMKlXmYnbgSwOMPWdT" TargetMode="External"/><Relationship Id="rId36" Type="http://schemas.openxmlformats.org/officeDocument/2006/relationships/hyperlink" Target="https://drive.google.com/drive/folders/1lBQmWz4aoCY0eME84WUh3CyNOu1RMz_e" TargetMode="External"/><Relationship Id="rId175" Type="http://schemas.openxmlformats.org/officeDocument/2006/relationships/hyperlink" Target="https://drive.google.com/drive/folders/1bM4zwJmIR4ofvxENyYc7LFs7M9rVjvgx" TargetMode="External"/><Relationship Id="rId39" Type="http://schemas.openxmlformats.org/officeDocument/2006/relationships/hyperlink" Target="https://drive.google.com/drive/folders/1mzWEXK5yJTbhVcbR7fJTm55mO7efIbQF" TargetMode="External"/><Relationship Id="rId174" Type="http://schemas.openxmlformats.org/officeDocument/2006/relationships/hyperlink" Target="https://drive.google.com/drive/folders/17ykbjjp0VXkpWW-IxJfbTb6m27fuoNI6" TargetMode="External"/><Relationship Id="rId38" Type="http://schemas.openxmlformats.org/officeDocument/2006/relationships/hyperlink" Target="https://drive.google.com/drive/folders/1iHel-A04jaHD6wqAd72ojEKiRAiLT1il" TargetMode="External"/><Relationship Id="rId173" Type="http://schemas.openxmlformats.org/officeDocument/2006/relationships/hyperlink" Target="https://drive.google.com/drive/folders/1J-TvQEdCmeSz9m0aP6FQhlRg0dlcRLQo" TargetMode="External"/><Relationship Id="rId179" Type="http://schemas.openxmlformats.org/officeDocument/2006/relationships/hyperlink" Target="https://drive.google.com/drive/folders/1ws4BW_ZJUjJLBtaTHbsw5gsFTYX61Q8r" TargetMode="External"/><Relationship Id="rId178" Type="http://schemas.openxmlformats.org/officeDocument/2006/relationships/hyperlink" Target="https://drive.google.com/drive/folders/12s6S8GNKHIWvs2mzKMFXXt0gJPdLrzye" TargetMode="External"/><Relationship Id="rId177" Type="http://schemas.openxmlformats.org/officeDocument/2006/relationships/hyperlink" Target="https://drive.google.com/drive/folders/1ubSpWdfV78pecDfPXo7m64rc1srlM1tP" TargetMode="External"/><Relationship Id="rId20" Type="http://schemas.openxmlformats.org/officeDocument/2006/relationships/hyperlink" Target="https://drive.google.com/drive/folders/1XfZmccZtGmzhA7UWE6rYgF5U3S1QFq5l" TargetMode="External"/><Relationship Id="rId22" Type="http://schemas.openxmlformats.org/officeDocument/2006/relationships/hyperlink" Target="https://drive.google.com/drive/folders/1GHmpki2Cx1wACK1OVZG2ER5eRDcfXfeC" TargetMode="External"/><Relationship Id="rId21" Type="http://schemas.openxmlformats.org/officeDocument/2006/relationships/hyperlink" Target="https://drive.google.com/drive/folders/19Fon5eKP4DzR4yWtuNC-UI97jgxy77EG" TargetMode="External"/><Relationship Id="rId24" Type="http://schemas.openxmlformats.org/officeDocument/2006/relationships/hyperlink" Target="https://drive.google.com/drive/folders/12L84J4xPnLOMqr5gWlF6dbRRXJc1DiYJ" TargetMode="External"/><Relationship Id="rId23" Type="http://schemas.openxmlformats.org/officeDocument/2006/relationships/hyperlink" Target="https://drive.google.com/drive/folders/1qR4Z-RlZPImeYh46zgiydWit3xrQUQJL" TargetMode="External"/><Relationship Id="rId26" Type="http://schemas.openxmlformats.org/officeDocument/2006/relationships/hyperlink" Target="https://drive.google.com/drive/folders/1Y8uPAeE9zc6RJFb1j61MD8qfs_6g9h6R" TargetMode="External"/><Relationship Id="rId25" Type="http://schemas.openxmlformats.org/officeDocument/2006/relationships/hyperlink" Target="https://drive.google.com/drive/folders/1GOYEdK814BVRdIQtiiYBInyYGricpLTR" TargetMode="External"/><Relationship Id="rId28" Type="http://schemas.openxmlformats.org/officeDocument/2006/relationships/hyperlink" Target="https://drive.google.com/drive/folders/1-hpwGX6mGj1GnXifdCOWkDp0Jj--2hRu" TargetMode="External"/><Relationship Id="rId27" Type="http://schemas.openxmlformats.org/officeDocument/2006/relationships/hyperlink" Target="https://drive.google.com/drive/folders/1R9Qza718DDQbNwyvsSP1XayPHZVguF6m" TargetMode="External"/><Relationship Id="rId29" Type="http://schemas.openxmlformats.org/officeDocument/2006/relationships/hyperlink" Target="https://drive.google.com/drive/folders/1F_RckRVbu4ptpzgp-xXsShXUwREdPsim" TargetMode="External"/><Relationship Id="rId11" Type="http://schemas.openxmlformats.org/officeDocument/2006/relationships/hyperlink" Target="https://drive.google.com/drive/folders/1iY6WEHIkk0Kby9mKpUyQwfhINdFhSAyi" TargetMode="External"/><Relationship Id="rId10" Type="http://schemas.openxmlformats.org/officeDocument/2006/relationships/hyperlink" Target="https://drive.google.com/drive/folders/1mjv_DTS6yGPalfEzEDJ4jSBjQVMJ2hQx" TargetMode="External"/><Relationship Id="rId13" Type="http://schemas.openxmlformats.org/officeDocument/2006/relationships/hyperlink" Target="https://drive.google.com/drive/folders/1uCD2Me_wk9uVQC6bt8Tu6SD6kvvApnYy" TargetMode="External"/><Relationship Id="rId12" Type="http://schemas.openxmlformats.org/officeDocument/2006/relationships/hyperlink" Target="https://drive.google.com/drive/folders/1maTlMxRX-mitWEK62qJIN2P23Le5H3KB" TargetMode="External"/><Relationship Id="rId15" Type="http://schemas.openxmlformats.org/officeDocument/2006/relationships/hyperlink" Target="https://drive.google.com/drive/folders/1ViqAiZbM4g54bRZtGFWVlPIDO6bRt8ip" TargetMode="External"/><Relationship Id="rId198" Type="http://schemas.openxmlformats.org/officeDocument/2006/relationships/hyperlink" Target="https://drive.google.com/drive/folders/1GTyT5WP75CFuUAaW7zysgZIJR5_M2fdC" TargetMode="External"/><Relationship Id="rId14" Type="http://schemas.openxmlformats.org/officeDocument/2006/relationships/hyperlink" Target="https://drive.google.com/drive/folders/1EH6kyfVnODUSd88oNCPLj1RJAaifknVI" TargetMode="External"/><Relationship Id="rId197" Type="http://schemas.openxmlformats.org/officeDocument/2006/relationships/hyperlink" Target="https://drive.google.com/drive/folders/1G6Klf0a1-PEs5M8jCeOY-mc9d4Tcf4E7" TargetMode="External"/><Relationship Id="rId17" Type="http://schemas.openxmlformats.org/officeDocument/2006/relationships/hyperlink" Target="https://drive.google.com/drive/folders/1PWYiCbAky5vGHMSnB7VPeUtL6fzI_Fh5" TargetMode="External"/><Relationship Id="rId196" Type="http://schemas.openxmlformats.org/officeDocument/2006/relationships/hyperlink" Target="https://drive.google.com/drive/folders/1DS0xQvdXPSHEE0pgn2Lz_QtHT07dz03Q" TargetMode="External"/><Relationship Id="rId16" Type="http://schemas.openxmlformats.org/officeDocument/2006/relationships/hyperlink" Target="https://drive.google.com/drive/folders/1OcJ4HF7f4IyT7rwYac09MXan3eaZRpON" TargetMode="External"/><Relationship Id="rId195" Type="http://schemas.openxmlformats.org/officeDocument/2006/relationships/hyperlink" Target="https://drive.google.com/drive/folders/1XGBszOMM_TTbTJH1sEOy62ttQrWsc8BI" TargetMode="External"/><Relationship Id="rId19" Type="http://schemas.openxmlformats.org/officeDocument/2006/relationships/hyperlink" Target="https://drive.google.com/drive/folders/1RyKLNwOC61cnek9trXfGhNxBH9UYW7ob" TargetMode="External"/><Relationship Id="rId18" Type="http://schemas.openxmlformats.org/officeDocument/2006/relationships/hyperlink" Target="https://drive.google.com/drive/folders/1x8vB8Y8FtHwEVZZRHjylev-KR5vSPKwV" TargetMode="External"/><Relationship Id="rId199" Type="http://schemas.openxmlformats.org/officeDocument/2006/relationships/hyperlink" Target="https://drive.google.com/drive/folders/1GU0-d-ife9mfGW4rOseAkho_trDRHL9M" TargetMode="External"/><Relationship Id="rId84" Type="http://schemas.openxmlformats.org/officeDocument/2006/relationships/hyperlink" Target="https://drive.google.com/drive/folders/16de3XKJH_bRarFMn1N9HLd-kSeWVxa8D" TargetMode="External"/><Relationship Id="rId83" Type="http://schemas.openxmlformats.org/officeDocument/2006/relationships/hyperlink" Target="https://drive.google.com/drive/folders/1d8HdlGUyGQ3y8vHXpYX7buiG73q16wz3" TargetMode="External"/><Relationship Id="rId86" Type="http://schemas.openxmlformats.org/officeDocument/2006/relationships/hyperlink" Target="https://drive.google.com/drive/folders/1ebi-_DZvLws6oEWKYO7qw1R2CYTOyGsg" TargetMode="External"/><Relationship Id="rId85" Type="http://schemas.openxmlformats.org/officeDocument/2006/relationships/hyperlink" Target="https://drive.google.com/drive/folders/1ZrBkIxwSZv6bg7UQ97f5XORLKZfpH1aF" TargetMode="External"/><Relationship Id="rId88" Type="http://schemas.openxmlformats.org/officeDocument/2006/relationships/hyperlink" Target="https://drive.google.com/drive/folders/1BhQH7PlrFYoECYKtZ-0Pm3cKSSwIedrK" TargetMode="External"/><Relationship Id="rId150" Type="http://schemas.openxmlformats.org/officeDocument/2006/relationships/hyperlink" Target="https://drive.google.com/drive/folders/1kWZwApe6DCLRD6WJmgWj119CrqfG3waw" TargetMode="External"/><Relationship Id="rId87" Type="http://schemas.openxmlformats.org/officeDocument/2006/relationships/hyperlink" Target="https://drive.google.com/drive/folders/1xcSHAbY8FhXE_oHtqwQD79tBx0Nh5B4b" TargetMode="External"/><Relationship Id="rId89" Type="http://schemas.openxmlformats.org/officeDocument/2006/relationships/hyperlink" Target="https://drive.google.com/drive/folders/1FDvclSst2AcTHbLULKlktLEoMOuIFo3f" TargetMode="External"/><Relationship Id="rId80" Type="http://schemas.openxmlformats.org/officeDocument/2006/relationships/hyperlink" Target="https://drive.google.com/drive/folders/1buqEeVJx9GWAL6bJ9d5EpEBobsJgfy8E" TargetMode="External"/><Relationship Id="rId82" Type="http://schemas.openxmlformats.org/officeDocument/2006/relationships/hyperlink" Target="https://drive.google.com/drive/folders/1p0lrmeRV4UL2BGgWmvmQRTdTKqe0IgPw" TargetMode="External"/><Relationship Id="rId81" Type="http://schemas.openxmlformats.org/officeDocument/2006/relationships/hyperlink" Target="https://drive.google.com/drive/folders/15D7RnGivM-O1kav5CQlVdXxB5rOczUlL" TargetMode="External"/><Relationship Id="rId1" Type="http://schemas.openxmlformats.org/officeDocument/2006/relationships/hyperlink" Target="https://drive.google.com/drive/folders/1l9rilY5u56Jni6k4J5gLkQ5Tydc3fNJb" TargetMode="External"/><Relationship Id="rId2" Type="http://schemas.openxmlformats.org/officeDocument/2006/relationships/hyperlink" Target="https://drive.google.com/drive/folders/1mm1HkE6vncBRFoSYBh4xwTM6ZH02BMP0" TargetMode="External"/><Relationship Id="rId3" Type="http://schemas.openxmlformats.org/officeDocument/2006/relationships/hyperlink" Target="https://drive.google.com/drive/folders/1VHu2-jr7rzrr4wGp90EI8HsMXa1pvUKt" TargetMode="External"/><Relationship Id="rId149" Type="http://schemas.openxmlformats.org/officeDocument/2006/relationships/hyperlink" Target="https://drive.google.com/drive/folders/1aEd9U2lfGdjIeWPF0B7p0xCeNEuepkdq" TargetMode="External"/><Relationship Id="rId4" Type="http://schemas.openxmlformats.org/officeDocument/2006/relationships/hyperlink" Target="https://drive.google.com/drive/folders/1nefRtcoMOlsgm3HDVYlBn_O11AaPEIv-" TargetMode="External"/><Relationship Id="rId148" Type="http://schemas.openxmlformats.org/officeDocument/2006/relationships/hyperlink" Target="https://drive.google.com/drive/folders/1OX-E5io24F-Vd3QMnA4t2Dt-g7Y1CwNB" TargetMode="External"/><Relationship Id="rId9" Type="http://schemas.openxmlformats.org/officeDocument/2006/relationships/hyperlink" Target="https://drive.google.com/drive/folders/1tN9R0ANAhcn79z5VmWhCJVyT0H5wvxA3" TargetMode="External"/><Relationship Id="rId143" Type="http://schemas.openxmlformats.org/officeDocument/2006/relationships/hyperlink" Target="https://drive.google.com/drive/folders/1HXFEEI07qBSiJOozrNh5LFIiOszEUWGm" TargetMode="External"/><Relationship Id="rId142" Type="http://schemas.openxmlformats.org/officeDocument/2006/relationships/hyperlink" Target="https://drive.google.com/drive/folders/1i_sYunIvykUN7PoDFHxzx-tccKewfvqn" TargetMode="External"/><Relationship Id="rId141" Type="http://schemas.openxmlformats.org/officeDocument/2006/relationships/hyperlink" Target="https://drive.google.com/drive/folders/1QSgxuSv0MUhavoXTndS0gO9T6G_vQen8" TargetMode="External"/><Relationship Id="rId140" Type="http://schemas.openxmlformats.org/officeDocument/2006/relationships/hyperlink" Target="https://drive.google.com/drive/folders/1jAjURP43yw63JNQixhXZAGofvf4o4CID" TargetMode="External"/><Relationship Id="rId261" Type="http://schemas.openxmlformats.org/officeDocument/2006/relationships/drawing" Target="../drawings/drawing6.xml"/><Relationship Id="rId5" Type="http://schemas.openxmlformats.org/officeDocument/2006/relationships/hyperlink" Target="https://drive.google.com/drive/folders/1WUS-1Nmy2BZ_3kErPS9YfMUFAinvzrcK" TargetMode="External"/><Relationship Id="rId147" Type="http://schemas.openxmlformats.org/officeDocument/2006/relationships/hyperlink" Target="https://drive.google.com/drive/folders/1YJTLXwpRaLs-di-VOw0t3bj95rRLIvF2" TargetMode="External"/><Relationship Id="rId6" Type="http://schemas.openxmlformats.org/officeDocument/2006/relationships/hyperlink" Target="https://drive.google.com/drive/folders/1WHfveyLapXbNe-TTbDOsSQ_Sc-cAGkd5" TargetMode="External"/><Relationship Id="rId146" Type="http://schemas.openxmlformats.org/officeDocument/2006/relationships/hyperlink" Target="https://drive.google.com/drive/folders/12jMD6wEYJLJPbvG9E-BYDbyRTllBDbdz" TargetMode="External"/><Relationship Id="rId7" Type="http://schemas.openxmlformats.org/officeDocument/2006/relationships/hyperlink" Target="https://drive.google.com/drive/folders/1gw9nSpS9n49pc7kapz32oqH5P0_F_THs" TargetMode="External"/><Relationship Id="rId145" Type="http://schemas.openxmlformats.org/officeDocument/2006/relationships/hyperlink" Target="https://drive.google.com/drive/folders/1Zen39gDfZ9OkzIIwfBG5owB7ujuLd0DS" TargetMode="External"/><Relationship Id="rId8" Type="http://schemas.openxmlformats.org/officeDocument/2006/relationships/hyperlink" Target="https://drive.google.com/drive/folders/1s5Nnaa3vsd97qZq-K5F92Rkz3JHfIiKu" TargetMode="External"/><Relationship Id="rId144" Type="http://schemas.openxmlformats.org/officeDocument/2006/relationships/hyperlink" Target="https://drive.google.com/drive/folders/1D-2trsZS_stHZutK_-SVCLVvudgmJy_Y" TargetMode="External"/><Relationship Id="rId73" Type="http://schemas.openxmlformats.org/officeDocument/2006/relationships/hyperlink" Target="https://drive.google.com/drive/folders/185mjPERJEUsm90IdtRSFctXFG7ySuDqx" TargetMode="External"/><Relationship Id="rId72" Type="http://schemas.openxmlformats.org/officeDocument/2006/relationships/hyperlink" Target="https://drive.google.com/drive/folders/1kq0wvvf-wLTIkhHM1OavmPLqocORTQ8G" TargetMode="External"/><Relationship Id="rId75" Type="http://schemas.openxmlformats.org/officeDocument/2006/relationships/hyperlink" Target="https://drive.google.com/drive/folders/1kho-pHhqoNSwWG-GFO5ed2gCykSBQ1vS" TargetMode="External"/><Relationship Id="rId74" Type="http://schemas.openxmlformats.org/officeDocument/2006/relationships/hyperlink" Target="https://drive.google.com/drive/folders/1DvfEon-h8mZuPhGSx2IWa4nPh6Otckv3" TargetMode="External"/><Relationship Id="rId77" Type="http://schemas.openxmlformats.org/officeDocument/2006/relationships/hyperlink" Target="https://drive.google.com/drive/folders/1XoCXpvgi-0tvZVcqJKTyjjaGXIxh9S31" TargetMode="External"/><Relationship Id="rId260" Type="http://schemas.openxmlformats.org/officeDocument/2006/relationships/hyperlink" Target="https://drive.google.com/drive/folders/1cxdWxXG7AbXpJGZ1EO5YnB_YpJpRz8Ft" TargetMode="External"/><Relationship Id="rId76" Type="http://schemas.openxmlformats.org/officeDocument/2006/relationships/hyperlink" Target="https://drive.google.com/drive/folders/1X10P66Hc94wqdJ24zscGLPRPM-bRGLMi" TargetMode="External"/><Relationship Id="rId79" Type="http://schemas.openxmlformats.org/officeDocument/2006/relationships/hyperlink" Target="https://drive.google.com/drive/folders/1HETVly9DTiOlNkg0m7HItT80y8Lc1RgO" TargetMode="External"/><Relationship Id="rId78" Type="http://schemas.openxmlformats.org/officeDocument/2006/relationships/hyperlink" Target="https://drive.google.com/drive/folders/1j91o8_0iuxJjU5I6wlVOp6CRzZxjRv14" TargetMode="External"/><Relationship Id="rId71" Type="http://schemas.openxmlformats.org/officeDocument/2006/relationships/hyperlink" Target="https://drive.google.com/drive/folders/14gff_ekyFXMkA2GLAP_l6Dd7ppILwbJI" TargetMode="External"/><Relationship Id="rId70" Type="http://schemas.openxmlformats.org/officeDocument/2006/relationships/hyperlink" Target="https://drive.google.com/drive/folders/1lJJJwgb2EdCTENFypra_yf1TAIE48tAk" TargetMode="External"/><Relationship Id="rId139" Type="http://schemas.openxmlformats.org/officeDocument/2006/relationships/hyperlink" Target="https://drive.google.com/drive/folders/1galBKHbVOnGzH51tnTVqTCH87rQJ6F_8" TargetMode="External"/><Relationship Id="rId138" Type="http://schemas.openxmlformats.org/officeDocument/2006/relationships/hyperlink" Target="https://drive.google.com/drive/folders/1ZCXbND5y5EkjVaVblo-HtZkky98RxfDE" TargetMode="External"/><Relationship Id="rId259" Type="http://schemas.openxmlformats.org/officeDocument/2006/relationships/hyperlink" Target="https://drive.google.com/drive/folders/1TisRLwT1n8Q8Jy1tob4OnnKpxU4LDC1k" TargetMode="External"/><Relationship Id="rId137" Type="http://schemas.openxmlformats.org/officeDocument/2006/relationships/hyperlink" Target="https://drive.google.com/drive/folders/1rZrlKaDKBRgO7pqeDeUqorBkHQ3KGrwj" TargetMode="External"/><Relationship Id="rId258" Type="http://schemas.openxmlformats.org/officeDocument/2006/relationships/hyperlink" Target="https://drive.google.com/drive/folders/1AUB7ay2pEMeaIn_ACtl4OfNDPm9vneCE" TargetMode="External"/><Relationship Id="rId132" Type="http://schemas.openxmlformats.org/officeDocument/2006/relationships/hyperlink" Target="https://drive.google.com/drive/folders/1XbExTnKanF3svO69QBFCw7TtsM9g5qhH" TargetMode="External"/><Relationship Id="rId253" Type="http://schemas.openxmlformats.org/officeDocument/2006/relationships/hyperlink" Target="https://drive.google.com/drive/folders/1kDdyBfxU8c48Il6r_ul3NqdOFpjwGcLQ" TargetMode="External"/><Relationship Id="rId131" Type="http://schemas.openxmlformats.org/officeDocument/2006/relationships/hyperlink" Target="https://drive.google.com/drive/folders/1zMG2uiqfI1jwzlZbvo2_rBByI9N-sRCm" TargetMode="External"/><Relationship Id="rId252" Type="http://schemas.openxmlformats.org/officeDocument/2006/relationships/hyperlink" Target="https://drive.google.com/drive/folders/1LleRAa3BiG32GXBxhe-gX0Z9K8j8V8i7" TargetMode="External"/><Relationship Id="rId130" Type="http://schemas.openxmlformats.org/officeDocument/2006/relationships/hyperlink" Target="https://drive.google.com/drive/folders/1wtGME9ujyrJNI8fYWWlKClBMpPqEIT3n" TargetMode="External"/><Relationship Id="rId251" Type="http://schemas.openxmlformats.org/officeDocument/2006/relationships/hyperlink" Target="https://drive.google.com/drive/folders/1ix9NAK4mF0M7WEIZxn1NsQk5IzEGvWOh" TargetMode="External"/><Relationship Id="rId250" Type="http://schemas.openxmlformats.org/officeDocument/2006/relationships/hyperlink" Target="https://drive.google.com/drive/folders/1QBp-DSqviH5VbwYJREIte-UUam1pHyFP" TargetMode="External"/><Relationship Id="rId136" Type="http://schemas.openxmlformats.org/officeDocument/2006/relationships/hyperlink" Target="https://drive.google.com/drive/folders/1UNbPouI2gKFHQINV2iFcVrfjCIuKoYFI" TargetMode="External"/><Relationship Id="rId257" Type="http://schemas.openxmlformats.org/officeDocument/2006/relationships/hyperlink" Target="https://drive.google.com/drive/folders/1u6ivPmSujKLfJ4LYrxvP29GXl9Lt5Qqa" TargetMode="External"/><Relationship Id="rId135" Type="http://schemas.openxmlformats.org/officeDocument/2006/relationships/hyperlink" Target="https://drive.google.com/drive/folders/1OCC998FMcPpdCelEQhpe0_uuuHvEdWdB" TargetMode="External"/><Relationship Id="rId256" Type="http://schemas.openxmlformats.org/officeDocument/2006/relationships/hyperlink" Target="https://drive.google.com/drive/folders/1dSbXqiFKB7TwNmAnjKVVBa0KoKBGyY2U" TargetMode="External"/><Relationship Id="rId134" Type="http://schemas.openxmlformats.org/officeDocument/2006/relationships/hyperlink" Target="https://drive.google.com/drive/folders/1zo8UD2ZowbZHBFCIltZHSQ4gWdwsFID7" TargetMode="External"/><Relationship Id="rId255" Type="http://schemas.openxmlformats.org/officeDocument/2006/relationships/hyperlink" Target="https://drive.google.com/drive/folders/1ktATcOfGaHsvHQVNH4JWwTHUTe9n2bEg" TargetMode="External"/><Relationship Id="rId133" Type="http://schemas.openxmlformats.org/officeDocument/2006/relationships/hyperlink" Target="https://drive.google.com/drive/folders/15phHdUzyC0eGaLWGzFyl0EJnWQ1Exn-6" TargetMode="External"/><Relationship Id="rId254" Type="http://schemas.openxmlformats.org/officeDocument/2006/relationships/hyperlink" Target="https://drive.google.com/drive/folders/13zDw0fkWRUMzK9-rs3VeBoH1sYI54Zec" TargetMode="External"/><Relationship Id="rId62" Type="http://schemas.openxmlformats.org/officeDocument/2006/relationships/hyperlink" Target="https://drive.google.com/drive/folders/1Jd5f6R_y80MOqbUl9j3L3SiTwqp6W2_Q" TargetMode="External"/><Relationship Id="rId61" Type="http://schemas.openxmlformats.org/officeDocument/2006/relationships/hyperlink" Target="https://drive.google.com/drive/folders/19ZFAwgPFQtwmbaxe2tqG3kBHvqQAydsD" TargetMode="External"/><Relationship Id="rId64" Type="http://schemas.openxmlformats.org/officeDocument/2006/relationships/hyperlink" Target="https://drive.google.com/drive/folders/12sT7AfcOZfWIyyUox_f9dzVkJTUaoBWP" TargetMode="External"/><Relationship Id="rId63" Type="http://schemas.openxmlformats.org/officeDocument/2006/relationships/hyperlink" Target="https://drive.google.com/drive/folders/1zGiaOKbunB7aHTRVGpr4vbU9kn8YTKmN" TargetMode="External"/><Relationship Id="rId66" Type="http://schemas.openxmlformats.org/officeDocument/2006/relationships/hyperlink" Target="https://drive.google.com/drive/folders/1PdyQ6a-62cW2RsuqXwT937U36O2q8fPn" TargetMode="External"/><Relationship Id="rId172" Type="http://schemas.openxmlformats.org/officeDocument/2006/relationships/hyperlink" Target="https://drive.google.com/drive/folders/1sIW8Y05zlOYkic8CLMX5NVFUyCRB0aT9" TargetMode="External"/><Relationship Id="rId65" Type="http://schemas.openxmlformats.org/officeDocument/2006/relationships/hyperlink" Target="https://drive.google.com/drive/folders/1wXSYO9J0YbJEk7JnjnhIqmApl8sjRcki" TargetMode="External"/><Relationship Id="rId171" Type="http://schemas.openxmlformats.org/officeDocument/2006/relationships/hyperlink" Target="https://drive.google.com/drive/folders/1nY9jzGzTtOvp-3H85VA2OIn6Yu2ThXQp" TargetMode="External"/><Relationship Id="rId68" Type="http://schemas.openxmlformats.org/officeDocument/2006/relationships/hyperlink" Target="https://drive.google.com/drive/folders/1IINnya6B6qvjPXYXbAE3lIfiadOc_WpF" TargetMode="External"/><Relationship Id="rId170" Type="http://schemas.openxmlformats.org/officeDocument/2006/relationships/hyperlink" Target="https://drive.google.com/drive/folders/15ejGXBNe6-4h4ILfFbIXlojTWGEB6OOv" TargetMode="External"/><Relationship Id="rId67" Type="http://schemas.openxmlformats.org/officeDocument/2006/relationships/hyperlink" Target="https://drive.google.com/drive/folders/1vmXGQAMiMAjrv7QSVgIdjJIWD3qAtosM" TargetMode="External"/><Relationship Id="rId60" Type="http://schemas.openxmlformats.org/officeDocument/2006/relationships/hyperlink" Target="https://drive.google.com/drive/folders/1tOYkrxQXWk_apAh0nOZwnwPLUdlg47Yp" TargetMode="External"/><Relationship Id="rId165" Type="http://schemas.openxmlformats.org/officeDocument/2006/relationships/hyperlink" Target="https://drive.google.com/drive/folders/1oJteZRf36L1HnE90fbal_86SlhzZSsXZ" TargetMode="External"/><Relationship Id="rId69" Type="http://schemas.openxmlformats.org/officeDocument/2006/relationships/hyperlink" Target="https://drive.google.com/drive/folders/1bCFF_qmIAIkHb4bKO8qLkTVUMIAS50oo" TargetMode="External"/><Relationship Id="rId164" Type="http://schemas.openxmlformats.org/officeDocument/2006/relationships/hyperlink" Target="https://drive.google.com/drive/folders/1DXttbNwFOfB-4wYa6NnCxMZs6RHSPXY-" TargetMode="External"/><Relationship Id="rId163" Type="http://schemas.openxmlformats.org/officeDocument/2006/relationships/hyperlink" Target="https://drive.google.com/drive/folders/14slbMEYywDL90AizfNwAhIOKNT7IOQ27" TargetMode="External"/><Relationship Id="rId162" Type="http://schemas.openxmlformats.org/officeDocument/2006/relationships/hyperlink" Target="https://drive.google.com/drive/folders/13PZVnFoTt4bL0cySgZCJj-kktfvXlVh5" TargetMode="External"/><Relationship Id="rId169" Type="http://schemas.openxmlformats.org/officeDocument/2006/relationships/hyperlink" Target="https://drive.google.com/drive/folders/1Z5Fq0m6EZF4SFaPfGWyQGd6DenpFHU7g" TargetMode="External"/><Relationship Id="rId168" Type="http://schemas.openxmlformats.org/officeDocument/2006/relationships/hyperlink" Target="https://drive.google.com/drive/folders/1Xp2bNOQknErZ1BGsD_n0NW_BW-R4v34B" TargetMode="External"/><Relationship Id="rId167" Type="http://schemas.openxmlformats.org/officeDocument/2006/relationships/hyperlink" Target="https://drive.google.com/drive/folders/151V_iGviHCLzBkrqignaDfUPCJMXgqWY" TargetMode="External"/><Relationship Id="rId166" Type="http://schemas.openxmlformats.org/officeDocument/2006/relationships/hyperlink" Target="https://drive.google.com/drive/folders/1hRK4s_r1ZyiyLVp24StherYE8xmJbiHX" TargetMode="External"/><Relationship Id="rId51" Type="http://schemas.openxmlformats.org/officeDocument/2006/relationships/hyperlink" Target="https://drive.google.com/drive/folders/1xnUtOZ120Bcfj1rigHRZtEzsePlNknKv" TargetMode="External"/><Relationship Id="rId50" Type="http://schemas.openxmlformats.org/officeDocument/2006/relationships/hyperlink" Target="https://drive.google.com/drive/folders/1KCKNJvO6J8mFFNJdQntKUR4MuwU7vRJo" TargetMode="External"/><Relationship Id="rId53" Type="http://schemas.openxmlformats.org/officeDocument/2006/relationships/hyperlink" Target="https://drive.google.com/drive/folders/1lY1vpaEYqos1JTyyPaBI7GzUZzeomMYO" TargetMode="External"/><Relationship Id="rId52" Type="http://schemas.openxmlformats.org/officeDocument/2006/relationships/hyperlink" Target="https://drive.google.com/drive/folders/14LNs8uxFXrr6keKC2yUiaxN5d-tQN747" TargetMode="External"/><Relationship Id="rId55" Type="http://schemas.openxmlformats.org/officeDocument/2006/relationships/hyperlink" Target="https://drive.google.com/drive/folders/1Lf322UBrCBvhjW6BxXbh80KBDepUO1sW" TargetMode="External"/><Relationship Id="rId161" Type="http://schemas.openxmlformats.org/officeDocument/2006/relationships/hyperlink" Target="https://drive.google.com/drive/folders/11AeoY46wHYWdCDXi_TmiVv2koEKLET-5" TargetMode="External"/><Relationship Id="rId54" Type="http://schemas.openxmlformats.org/officeDocument/2006/relationships/hyperlink" Target="https://drive.google.com/drive/folders/1eEOGrWpW_-_Xn5uzfeVuG3zjlXkD1bPi" TargetMode="External"/><Relationship Id="rId160" Type="http://schemas.openxmlformats.org/officeDocument/2006/relationships/hyperlink" Target="https://drive.google.com/drive/folders/12-7wOzOY909fYSFWd7Wssz8THSJiCSDb" TargetMode="External"/><Relationship Id="rId57" Type="http://schemas.openxmlformats.org/officeDocument/2006/relationships/hyperlink" Target="https://drive.google.com/drive/folders/1ObGn7wYBD9JWmnuxA36X0KkgbhwWrWGp" TargetMode="External"/><Relationship Id="rId56" Type="http://schemas.openxmlformats.org/officeDocument/2006/relationships/hyperlink" Target="https://drive.google.com/drive/folders/112GWrxskqMLgvakAO0-TZtuLusVdteTK" TargetMode="External"/><Relationship Id="rId159" Type="http://schemas.openxmlformats.org/officeDocument/2006/relationships/hyperlink" Target="https://drive.google.com/drive/folders/11cWG3p_s0eiunq0biest34T1a-WJ24zs" TargetMode="External"/><Relationship Id="rId59" Type="http://schemas.openxmlformats.org/officeDocument/2006/relationships/hyperlink" Target="https://drive.google.com/drive/folders/1f8jB1DkndviT_TUgzYprxcHyBYQC32l4" TargetMode="External"/><Relationship Id="rId154" Type="http://schemas.openxmlformats.org/officeDocument/2006/relationships/hyperlink" Target="https://drive.google.com/drive/folders/15qeap5gSIRT0aVRoMJnNfPUBazqpZIXz" TargetMode="External"/><Relationship Id="rId58" Type="http://schemas.openxmlformats.org/officeDocument/2006/relationships/hyperlink" Target="https://drive.google.com/drive/folders/1wIik77hiW4C6EOzPTYkbbrtLCvjry4YP" TargetMode="External"/><Relationship Id="rId153" Type="http://schemas.openxmlformats.org/officeDocument/2006/relationships/hyperlink" Target="https://drive.google.com/drive/folders/14r6cpScl7I2Y11eTSuhhDIscqGbDzPrF" TargetMode="External"/><Relationship Id="rId152" Type="http://schemas.openxmlformats.org/officeDocument/2006/relationships/hyperlink" Target="https://drive.google.com/drive/folders/10ydOB6Tb7-orrqK3Be09-b3e16dPgPu3" TargetMode="External"/><Relationship Id="rId151" Type="http://schemas.openxmlformats.org/officeDocument/2006/relationships/hyperlink" Target="https://drive.google.com/drive/folders/13DH4v6PrOSTO-zIDRZDHbDU_6PSEKc2D" TargetMode="External"/><Relationship Id="rId158" Type="http://schemas.openxmlformats.org/officeDocument/2006/relationships/hyperlink" Target="https://drive.google.com/drive/folders/1wNajagzlx035vCe_JZHUa2KBTFCdi7S0" TargetMode="External"/><Relationship Id="rId157" Type="http://schemas.openxmlformats.org/officeDocument/2006/relationships/hyperlink" Target="https://drive.google.com/drive/folders/1bO7T3YDlrOhPiydsFoaWVKd9vrAFMDmm" TargetMode="External"/><Relationship Id="rId156" Type="http://schemas.openxmlformats.org/officeDocument/2006/relationships/hyperlink" Target="https://drive.google.com/drive/folders/1_bjBrAS-5lvbqPBNQKQpvyX57BcbLAep" TargetMode="External"/><Relationship Id="rId155" Type="http://schemas.openxmlformats.org/officeDocument/2006/relationships/hyperlink" Target="https://drive.google.com/drive/folders/13cIsS89S-7IzXK9XDgUb8fjQWUyHp8Fu" TargetMode="External"/><Relationship Id="rId107" Type="http://schemas.openxmlformats.org/officeDocument/2006/relationships/hyperlink" Target="https://drive.google.com/drive/folders/1lQVAA8F0GxGefPzbxr-3nlLu5n_RmIel" TargetMode="External"/><Relationship Id="rId228" Type="http://schemas.openxmlformats.org/officeDocument/2006/relationships/hyperlink" Target="https://drive.google.com/drive/folders/1ZAqB5VYfuvddSXpoNeMEQ283_13VcRkX" TargetMode="External"/><Relationship Id="rId106" Type="http://schemas.openxmlformats.org/officeDocument/2006/relationships/hyperlink" Target="https://drive.google.com/drive/folders/1JU9mTPAQ7sSsPFGmdDpP3SkUekuyoCxL" TargetMode="External"/><Relationship Id="rId227" Type="http://schemas.openxmlformats.org/officeDocument/2006/relationships/hyperlink" Target="https://drive.google.com/drive/folders/1c59zWfQXDbvoohiIyEy0d8ytG-GDV30p" TargetMode="External"/><Relationship Id="rId105" Type="http://schemas.openxmlformats.org/officeDocument/2006/relationships/hyperlink" Target="https://drive.google.com/drive/folders/1-0E2db69vNuta7hU2732FJd3hK_0tFtq" TargetMode="External"/><Relationship Id="rId226" Type="http://schemas.openxmlformats.org/officeDocument/2006/relationships/hyperlink" Target="https://drive.google.com/drive/folders/1b6yUvgoERvWUhIhhm-3QeBbMKSzpQNyS" TargetMode="External"/><Relationship Id="rId104" Type="http://schemas.openxmlformats.org/officeDocument/2006/relationships/hyperlink" Target="https://drive.google.com/drive/folders/1DUR99OGaNsBt2LgGBI8bnuhILVxPFLY8" TargetMode="External"/><Relationship Id="rId225" Type="http://schemas.openxmlformats.org/officeDocument/2006/relationships/hyperlink" Target="https://drive.google.com/drive/folders/17cbtvJx3mQvFKWdsvu6NkyMNHyfNLVcl" TargetMode="External"/><Relationship Id="rId109" Type="http://schemas.openxmlformats.org/officeDocument/2006/relationships/hyperlink" Target="https://drive.google.com/drive/folders/1Uy_UKI-yEtyo4cWjqPC2Mu9fgGVX7WGp" TargetMode="External"/><Relationship Id="rId108" Type="http://schemas.openxmlformats.org/officeDocument/2006/relationships/hyperlink" Target="https://drive.google.com/drive/folders/1sJh_2dyuAh7pBgC67mXOfonrpetgbhp7" TargetMode="External"/><Relationship Id="rId229" Type="http://schemas.openxmlformats.org/officeDocument/2006/relationships/hyperlink" Target="https://drive.google.com/drive/folders/1Gslu4l7FF2ei_TFQlJX_s_99M0KZJjNc" TargetMode="External"/><Relationship Id="rId220" Type="http://schemas.openxmlformats.org/officeDocument/2006/relationships/hyperlink" Target="https://drive.google.com/drive/folders/1p5T0M65_CjX0Zum4LYLdJTOKlYTYyKM3" TargetMode="External"/><Relationship Id="rId103" Type="http://schemas.openxmlformats.org/officeDocument/2006/relationships/hyperlink" Target="https://drive.google.com/drive/folders/1vMaOiEqxDBoh3dhnEqkkFaPyIwa0VeXq" TargetMode="External"/><Relationship Id="rId224" Type="http://schemas.openxmlformats.org/officeDocument/2006/relationships/hyperlink" Target="https://drive.google.com/drive/folders/1NZgtna6csRZFbZ5hSeH2V_kiEZq2jlyp" TargetMode="External"/><Relationship Id="rId102" Type="http://schemas.openxmlformats.org/officeDocument/2006/relationships/hyperlink" Target="https://drive.google.com/drive/folders/1binro4VF6uhb86gZbDRUTJMkybbL6krs" TargetMode="External"/><Relationship Id="rId223" Type="http://schemas.openxmlformats.org/officeDocument/2006/relationships/hyperlink" Target="https://drive.google.com/drive/folders/1FPNCSn1yR7idSxcA7T2l7-_xZGGi0ZPT" TargetMode="External"/><Relationship Id="rId101" Type="http://schemas.openxmlformats.org/officeDocument/2006/relationships/hyperlink" Target="https://drive.google.com/drive/folders/1qB0USHtl1unfuH7CDs5nMK0AqvgHM_N_" TargetMode="External"/><Relationship Id="rId222" Type="http://schemas.openxmlformats.org/officeDocument/2006/relationships/hyperlink" Target="https://drive.google.com/drive/folders/1ywybwO1V5GLOPIEFJHEcdXvxWV7QG56B" TargetMode="External"/><Relationship Id="rId100" Type="http://schemas.openxmlformats.org/officeDocument/2006/relationships/hyperlink" Target="https://drive.google.com/drive/folders/1TbVZ0cvCk9U1Ck4PqIGacg3KXXZvhoR9" TargetMode="External"/><Relationship Id="rId221" Type="http://schemas.openxmlformats.org/officeDocument/2006/relationships/hyperlink" Target="https://drive.google.com/drive/folders/1vutM_2WDtjRm3ZKGk8_Ed5ZZEAzjL4KU" TargetMode="External"/><Relationship Id="rId217" Type="http://schemas.openxmlformats.org/officeDocument/2006/relationships/hyperlink" Target="https://drive.google.com/drive/folders/1ItjOnY7Qghz4cpjtlOgtPmzv2LpwidUS" TargetMode="External"/><Relationship Id="rId216" Type="http://schemas.openxmlformats.org/officeDocument/2006/relationships/hyperlink" Target="https://drive.google.com/drive/folders/1VQFLNAR_makWTj141PiAmigj1_gVQc7D" TargetMode="External"/><Relationship Id="rId215" Type="http://schemas.openxmlformats.org/officeDocument/2006/relationships/hyperlink" Target="https://drive.google.com/drive/folders/12gk9QlUk0ou54-Ow3p8bepOh8dAGLGVg" TargetMode="External"/><Relationship Id="rId214" Type="http://schemas.openxmlformats.org/officeDocument/2006/relationships/hyperlink" Target="https://drive.google.com/drive/folders/1yBeJfYjH19i2C4HN3O-sGwu_WtTKPy7R" TargetMode="External"/><Relationship Id="rId219" Type="http://schemas.openxmlformats.org/officeDocument/2006/relationships/hyperlink" Target="https://drive.google.com/drive/folders/11LgMXLW3K0vfXT9d9txYSTsxAyKW8bAb" TargetMode="External"/><Relationship Id="rId218" Type="http://schemas.openxmlformats.org/officeDocument/2006/relationships/hyperlink" Target="https://drive.google.com/drive/folders/1MqPwNr2oXsc5J6l4SMFieR-YdEjjiEpq" TargetMode="External"/><Relationship Id="rId213" Type="http://schemas.openxmlformats.org/officeDocument/2006/relationships/hyperlink" Target="https://drive.google.com/drive/folders/1bqlTLRsQy9Iqx-DBT84FXsLcDsiMHUER" TargetMode="External"/><Relationship Id="rId212" Type="http://schemas.openxmlformats.org/officeDocument/2006/relationships/hyperlink" Target="https://drive.google.com/drive/folders/1o-8eNB14VIkR-DQpPgFCw-rsWdZ2NvPx" TargetMode="External"/><Relationship Id="rId211" Type="http://schemas.openxmlformats.org/officeDocument/2006/relationships/hyperlink" Target="https://drive.google.com/drive/folders/1rwCwrXNioKqRMqiYPqtgDLyH5KJB4nOs" TargetMode="External"/><Relationship Id="rId210" Type="http://schemas.openxmlformats.org/officeDocument/2006/relationships/hyperlink" Target="https://drive.google.com/drive/folders/18La4WqfTS_bXTWiGLnv1-RfEdCnYEBhe" TargetMode="External"/><Relationship Id="rId129" Type="http://schemas.openxmlformats.org/officeDocument/2006/relationships/hyperlink" Target="https://drive.google.com/drive/folders/1QVEfODv79OkYfP-gxI4cU2XxEL67ki7p" TargetMode="External"/><Relationship Id="rId128" Type="http://schemas.openxmlformats.org/officeDocument/2006/relationships/hyperlink" Target="https://drive.google.com/drive/folders/1WIMCKi6yPX2w1Eh-JHw3JJoi_AVSBIY5" TargetMode="External"/><Relationship Id="rId249" Type="http://schemas.openxmlformats.org/officeDocument/2006/relationships/hyperlink" Target="https://drive.google.com/drive/folders/1K9_8_TjOOxLVt02V_W6ugm5SzE_3IQoZ" TargetMode="External"/><Relationship Id="rId127" Type="http://schemas.openxmlformats.org/officeDocument/2006/relationships/hyperlink" Target="https://drive.google.com/drive/folders/1pC1rKDBtYaxiQStZBBDcpK1JUd3wb69Y" TargetMode="External"/><Relationship Id="rId248" Type="http://schemas.openxmlformats.org/officeDocument/2006/relationships/hyperlink" Target="https://drive.google.com/drive/folders/1Q1JuPw3-qn3VqSDEXQSlDxkv_BeTD9IO" TargetMode="External"/><Relationship Id="rId126" Type="http://schemas.openxmlformats.org/officeDocument/2006/relationships/hyperlink" Target="https://drive.google.com/drive/folders/1NUeIsLmQiGICjxrGPRiyDP1785JQ21Oh" TargetMode="External"/><Relationship Id="rId247" Type="http://schemas.openxmlformats.org/officeDocument/2006/relationships/hyperlink" Target="https://drive.google.com/drive/folders/1ywyu9Q-q3jh0ZmT6P1YXXanzyosAMUYl" TargetMode="External"/><Relationship Id="rId121" Type="http://schemas.openxmlformats.org/officeDocument/2006/relationships/hyperlink" Target="https://drive.google.com/drive/folders/1BtgPipLZ2t9mXMRbNEJPjcaklT9fKvBN" TargetMode="External"/><Relationship Id="rId242" Type="http://schemas.openxmlformats.org/officeDocument/2006/relationships/hyperlink" Target="https://drive.google.com/drive/folders/1ukP-Vm4WDPqTA6ZVqNiwrhrxgJPG9H6N" TargetMode="External"/><Relationship Id="rId120" Type="http://schemas.openxmlformats.org/officeDocument/2006/relationships/hyperlink" Target="https://drive.google.com/drive/folders/1uVvaCx5bbuHEdRDQZWlIPeYgJs-4zShj" TargetMode="External"/><Relationship Id="rId241" Type="http://schemas.openxmlformats.org/officeDocument/2006/relationships/hyperlink" Target="https://drive.google.com/drive/folders/1r6Y2c_UQuVccVTmpqM9KfNpS8bdvUPWq" TargetMode="External"/><Relationship Id="rId240" Type="http://schemas.openxmlformats.org/officeDocument/2006/relationships/hyperlink" Target="https://drive.google.com/drive/folders/1xvqYqsCy7u4ozxBHnrqHeb3OzQKPrVDa" TargetMode="External"/><Relationship Id="rId125" Type="http://schemas.openxmlformats.org/officeDocument/2006/relationships/hyperlink" Target="https://drive.google.com/drive/folders/1BpjApya5lkbl8LM0l_DsbRoY3LdLIdu5" TargetMode="External"/><Relationship Id="rId246" Type="http://schemas.openxmlformats.org/officeDocument/2006/relationships/hyperlink" Target="https://drive.google.com/drive/folders/1P_VszUvhcQpQD9mq7x-zZAl_ofhw60ET" TargetMode="External"/><Relationship Id="rId124" Type="http://schemas.openxmlformats.org/officeDocument/2006/relationships/hyperlink" Target="https://drive.google.com/drive/folders/1eGOvL9kEMdQ6tsCo4D4PKnXKABXwR4ex" TargetMode="External"/><Relationship Id="rId245" Type="http://schemas.openxmlformats.org/officeDocument/2006/relationships/hyperlink" Target="https://drive.google.com/drive/folders/13H7h0zklgTtEWxeEFucLIVMHGzZsLcVP" TargetMode="External"/><Relationship Id="rId123" Type="http://schemas.openxmlformats.org/officeDocument/2006/relationships/hyperlink" Target="https://drive.google.com/drive/folders/1DRZMdTDYTpLCcDYebA1x_n9V0MV0jP4p" TargetMode="External"/><Relationship Id="rId244" Type="http://schemas.openxmlformats.org/officeDocument/2006/relationships/hyperlink" Target="https://drive.google.com/drive/folders/1zmQsqrS2SpiGx8HwF_VVKLCpo4L_qWmJ" TargetMode="External"/><Relationship Id="rId122" Type="http://schemas.openxmlformats.org/officeDocument/2006/relationships/hyperlink" Target="https://drive.google.com/drive/folders/1DlKY7iiGYkJVDfXoGLpDr0r4XD67TC9Q" TargetMode="External"/><Relationship Id="rId243" Type="http://schemas.openxmlformats.org/officeDocument/2006/relationships/hyperlink" Target="https://drive.google.com/drive/folders/1EaKhWwb0zxkhMB4-IQOwanUaSscUdusr" TargetMode="External"/><Relationship Id="rId95" Type="http://schemas.openxmlformats.org/officeDocument/2006/relationships/hyperlink" Target="https://drive.google.com/drive/folders/1wNvaPemMciY7aQFzJ03Cd2DskVH6MyvS" TargetMode="External"/><Relationship Id="rId94" Type="http://schemas.openxmlformats.org/officeDocument/2006/relationships/hyperlink" Target="https://drive.google.com/drive/folders/1pl9fnx7ZVIRHS_5d9R0R8D6lgj0texwb" TargetMode="External"/><Relationship Id="rId97" Type="http://schemas.openxmlformats.org/officeDocument/2006/relationships/hyperlink" Target="https://drive.google.com/drive/folders/1k7E-VQod4XnFj5X-cgP0ptHp1yGEWOLr" TargetMode="External"/><Relationship Id="rId96" Type="http://schemas.openxmlformats.org/officeDocument/2006/relationships/hyperlink" Target="https://drive.google.com/drive/folders/1CwvCnvcWLXjySIR319be6vZSl38FZvje" TargetMode="External"/><Relationship Id="rId99" Type="http://schemas.openxmlformats.org/officeDocument/2006/relationships/hyperlink" Target="https://drive.google.com/drive/folders/11kmlLRFfwMnAdUA82VreLzGRjHqQwhsY" TargetMode="External"/><Relationship Id="rId98" Type="http://schemas.openxmlformats.org/officeDocument/2006/relationships/hyperlink" Target="https://drive.google.com/drive/folders/16SB4MRhPQZtZk1FjNleKNUcz1v1K0YJf" TargetMode="External"/><Relationship Id="rId91" Type="http://schemas.openxmlformats.org/officeDocument/2006/relationships/hyperlink" Target="https://drive.google.com/drive/folders/1R0IM3KZGfEWdFUg4Sjn89nXs5jYPV5np" TargetMode="External"/><Relationship Id="rId90" Type="http://schemas.openxmlformats.org/officeDocument/2006/relationships/hyperlink" Target="https://drive.google.com/drive/folders/1KhG55__pk47ItU0z1-4A9u0D4aMDwlkM" TargetMode="External"/><Relationship Id="rId93" Type="http://schemas.openxmlformats.org/officeDocument/2006/relationships/hyperlink" Target="https://drive.google.com/drive/folders/1TFJYByZ25TW6za5WZX-DTe5E4cKRpKCe" TargetMode="External"/><Relationship Id="rId92" Type="http://schemas.openxmlformats.org/officeDocument/2006/relationships/hyperlink" Target="https://drive.google.com/drive/folders/1UiNETZeLbujQ2a5Trv1UQ1QbDiZgSnaJ" TargetMode="External"/><Relationship Id="rId118" Type="http://schemas.openxmlformats.org/officeDocument/2006/relationships/hyperlink" Target="https://drive.google.com/drive/folders/1p73lsCsfXxd4g8IQ7qyDxLEN7-E_QGml" TargetMode="External"/><Relationship Id="rId239" Type="http://schemas.openxmlformats.org/officeDocument/2006/relationships/hyperlink" Target="https://drive.google.com/drive/folders/1HRC6bQ64LfaMg6t3FI-0Jylnx-eIt7Ir" TargetMode="External"/><Relationship Id="rId117" Type="http://schemas.openxmlformats.org/officeDocument/2006/relationships/hyperlink" Target="https://drive.google.com/drive/folders/1-LsC9oq0UN3s44SzJk9dszK6YQbW_Q0i" TargetMode="External"/><Relationship Id="rId238" Type="http://schemas.openxmlformats.org/officeDocument/2006/relationships/hyperlink" Target="https://drive.google.com/drive/folders/1yKzzeBu-aJqp4e86nVXo35WXVxfbRpc0" TargetMode="External"/><Relationship Id="rId116" Type="http://schemas.openxmlformats.org/officeDocument/2006/relationships/hyperlink" Target="https://drive.google.com/drive/folders/1DkSsbQJ8-S2asKFiIlcp2_F3IKPSGbPr" TargetMode="External"/><Relationship Id="rId237" Type="http://schemas.openxmlformats.org/officeDocument/2006/relationships/hyperlink" Target="https://drive.google.com/drive/folders/1YP1TVr9_C5GFE1zKpzHf2N4HyRc6nrO3" TargetMode="External"/><Relationship Id="rId115" Type="http://schemas.openxmlformats.org/officeDocument/2006/relationships/hyperlink" Target="https://drive.google.com/drive/folders/1CgGI_FCmAH9NUO7gZB1vTFFB5AVDrbc8" TargetMode="External"/><Relationship Id="rId236" Type="http://schemas.openxmlformats.org/officeDocument/2006/relationships/hyperlink" Target="https://drive.google.com/drive/folders/1oo6XZarvBXqvzKn3336Z3FKFvPervdG1" TargetMode="External"/><Relationship Id="rId119" Type="http://schemas.openxmlformats.org/officeDocument/2006/relationships/hyperlink" Target="https://drive.google.com/drive/folders/1SMPikfNC-l61_N9HnQSZ9IViuxyfF9OY" TargetMode="External"/><Relationship Id="rId110" Type="http://schemas.openxmlformats.org/officeDocument/2006/relationships/hyperlink" Target="https://drive.google.com/drive/folders/1NdBw0xOO7B3HxN9SkykgDoV4sSdo-mwM" TargetMode="External"/><Relationship Id="rId231" Type="http://schemas.openxmlformats.org/officeDocument/2006/relationships/hyperlink" Target="https://drive.google.com/drive/folders/1Dvj61a4nr6GcsoeG9-nLEVrAEhmGkuky" TargetMode="External"/><Relationship Id="rId230" Type="http://schemas.openxmlformats.org/officeDocument/2006/relationships/hyperlink" Target="https://drive.google.com/drive/folders/1VHal_f_rSZ-gYTb9cYITvJZ16O3KFIsg" TargetMode="External"/><Relationship Id="rId114" Type="http://schemas.openxmlformats.org/officeDocument/2006/relationships/hyperlink" Target="https://drive.google.com/drive/folders/1q1WBWTy-8pgrdLS0bKmBw0oC6ERHctYv" TargetMode="External"/><Relationship Id="rId235" Type="http://schemas.openxmlformats.org/officeDocument/2006/relationships/hyperlink" Target="https://drive.google.com/drive/folders/1lP3ND8ummKX0Dhi3mxKpox192UUOqjV9" TargetMode="External"/><Relationship Id="rId113" Type="http://schemas.openxmlformats.org/officeDocument/2006/relationships/hyperlink" Target="https://drive.google.com/drive/folders/1dyx4O48wufFrKB48BhGoRMTS7-f7Ck7N" TargetMode="External"/><Relationship Id="rId234" Type="http://schemas.openxmlformats.org/officeDocument/2006/relationships/hyperlink" Target="https://drive.google.com/drive/folders/1TdVfldIu66q1PDKa0Jtg-PNO68vyh9kN" TargetMode="External"/><Relationship Id="rId112" Type="http://schemas.openxmlformats.org/officeDocument/2006/relationships/hyperlink" Target="https://drive.google.com/drive/folders/14QoWvrtl7UY_zhaNi8I00foq7Q7M0x-o" TargetMode="External"/><Relationship Id="rId233" Type="http://schemas.openxmlformats.org/officeDocument/2006/relationships/hyperlink" Target="https://drive.google.com/drive/folders/199BpEQq5abe_f4qSrCaphI2FK9as-cbM" TargetMode="External"/><Relationship Id="rId111" Type="http://schemas.openxmlformats.org/officeDocument/2006/relationships/hyperlink" Target="https://drive.google.com/drive/folders/1CaPidgj_6giJJBIHql9rf3EJfw4p8zUB" TargetMode="External"/><Relationship Id="rId232" Type="http://schemas.openxmlformats.org/officeDocument/2006/relationships/hyperlink" Target="https://drive.google.com/drive/folders/1sUjwme8gNwdmJRrF4KjCyHh2MT_SNgt3" TargetMode="External"/><Relationship Id="rId206" Type="http://schemas.openxmlformats.org/officeDocument/2006/relationships/hyperlink" Target="https://drive.google.com/drive/folders/1XDtPz-o0BzlKc6rqJBEAOblgSWnIiBOQ" TargetMode="External"/><Relationship Id="rId205" Type="http://schemas.openxmlformats.org/officeDocument/2006/relationships/hyperlink" Target="https://drive.google.com/drive/folders/1hkvuH-2lU7VVPW7YwWdLTroLofJaKF43" TargetMode="External"/><Relationship Id="rId204" Type="http://schemas.openxmlformats.org/officeDocument/2006/relationships/hyperlink" Target="https://drive.google.com/drive/folders/1Fo5cF6dM6NQ97f5-BV2IcqQ8CED7ibhC" TargetMode="External"/><Relationship Id="rId203" Type="http://schemas.openxmlformats.org/officeDocument/2006/relationships/hyperlink" Target="https://drive.google.com/drive/folders/14eYl1FcOp2x3HNQWhsjTClcCUbh06G5J" TargetMode="External"/><Relationship Id="rId209" Type="http://schemas.openxmlformats.org/officeDocument/2006/relationships/hyperlink" Target="https://drive.google.com/drive/folders/174i7LPFGrtd625_oR_8jZlCIapaZN28J" TargetMode="External"/><Relationship Id="rId208" Type="http://schemas.openxmlformats.org/officeDocument/2006/relationships/hyperlink" Target="https://drive.google.com/drive/folders/1mt5y-eS6W3dUTAGup_JHIvjavgXTpIcC" TargetMode="External"/><Relationship Id="rId207" Type="http://schemas.openxmlformats.org/officeDocument/2006/relationships/hyperlink" Target="https://drive.google.com/drive/folders/1NzhN27JoJA61Lc6a2jvC10qhJ_u7qmMZ" TargetMode="External"/><Relationship Id="rId202" Type="http://schemas.openxmlformats.org/officeDocument/2006/relationships/hyperlink" Target="https://drive.google.com/drive/folders/1__OMLcbWXGdCxnMJ0W7xALJeUHBRjwlo" TargetMode="External"/><Relationship Id="rId201" Type="http://schemas.openxmlformats.org/officeDocument/2006/relationships/hyperlink" Target="https://drive.google.com/drive/folders/1Nj4TIRZcrys8kDxypR0H483jOiKWSq2I" TargetMode="External"/><Relationship Id="rId200" Type="http://schemas.openxmlformats.org/officeDocument/2006/relationships/hyperlink" Target="https://drive.google.com/drive/folders/1Gyi5DJUeSDEhhY2zS3fx9Mj_BpaS0LY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5.0"/>
    <col customWidth="1" min="2" max="2" width="8.0"/>
    <col customWidth="1" min="3" max="3" width="34.0"/>
    <col customWidth="1" min="4" max="4" width="12.0"/>
    <col customWidth="1" min="5" max="5" width="8.0"/>
    <col customWidth="1" min="6" max="7" width="11.0"/>
    <col customWidth="1" min="8" max="8" width="16.0"/>
    <col customWidth="1" min="9" max="9" width="26.0"/>
    <col customWidth="1" min="10" max="11" width="9.0"/>
    <col customWidth="1" min="12" max="12" width="8.0"/>
    <col customWidth="1" min="13" max="13" width="16.0"/>
    <col customWidth="1" min="14" max="14" width="20.0"/>
    <col customWidth="1" min="15" max="15" width="14.0"/>
    <col customWidth="1" min="16" max="16" width="7.0"/>
    <col customWidth="1" min="17" max="17" width="11.0"/>
    <col customWidth="1" min="18" max="18" width="12.0"/>
    <col customWidth="1" min="19" max="19" width="30.0"/>
    <col customWidth="1" min="20" max="20" width="12.0"/>
    <col customWidth="1" min="21" max="21" width="8.0"/>
    <col customWidth="1" min="22" max="22" width="10.0"/>
    <col customWidth="1" min="23" max="23" width="28.0"/>
    <col customWidth="1" min="24" max="24" width="18.0"/>
    <col customWidth="1" min="25" max="25" width="34.0"/>
    <col customWidth="1" min="26" max="26" width="24.0"/>
    <col customWidth="1" min="27" max="27" width="28.0"/>
    <col customWidth="1" min="28" max="28" width="16.0"/>
    <col customWidth="1" min="29" max="29" width="9.0"/>
    <col customWidth="1" min="30" max="30" width="16.0"/>
    <col customWidth="1" min="31" max="31" width="28.0"/>
    <col customWidth="1" min="32" max="32" width="7.0"/>
    <col customWidth="1" min="33" max="33" width="24.0"/>
    <col customWidth="1" min="34" max="35" width="22.0"/>
    <col customWidth="1" min="36" max="36" width="11.0"/>
    <col customWidth="1" min="37" max="37" width="10.0"/>
    <col customWidth="1" min="38" max="38" width="28.0"/>
    <col customWidth="1" min="39" max="39" width="12.0"/>
    <col customWidth="1" min="40" max="41" width="30.0"/>
  </cols>
  <sheetData>
    <row r="1" ht="31.5" customHeight="1">
      <c r="A1" s="6" t="s">
        <v>0</v>
      </c>
      <c r="B1" s="6" t="s">
        <v>25</v>
      </c>
      <c r="C1" s="6" t="s">
        <v>26</v>
      </c>
      <c r="D1" s="6" t="s">
        <v>28</v>
      </c>
      <c r="E1" s="6" t="s">
        <v>29</v>
      </c>
      <c r="F1" s="6" t="s">
        <v>32</v>
      </c>
      <c r="G1" s="6" t="s">
        <v>34</v>
      </c>
      <c r="H1" s="6" t="s">
        <v>36</v>
      </c>
      <c r="I1" s="6" t="s">
        <v>38</v>
      </c>
      <c r="J1" s="6" t="s">
        <v>41</v>
      </c>
      <c r="K1" s="6" t="s">
        <v>43</v>
      </c>
      <c r="L1" s="6" t="s">
        <v>46</v>
      </c>
      <c r="M1" s="6" t="s">
        <v>49</v>
      </c>
      <c r="N1" s="6" t="s">
        <v>52</v>
      </c>
      <c r="O1" s="6" t="s">
        <v>54</v>
      </c>
      <c r="P1" s="6" t="s">
        <v>56</v>
      </c>
      <c r="Q1" s="6" t="s">
        <v>30</v>
      </c>
      <c r="R1" s="6" t="s">
        <v>33</v>
      </c>
      <c r="S1" s="6" t="s">
        <v>65</v>
      </c>
      <c r="T1" s="6" t="s">
        <v>67</v>
      </c>
      <c r="U1" s="6" t="s">
        <v>63</v>
      </c>
      <c r="V1" s="6" t="s">
        <v>37</v>
      </c>
      <c r="W1" s="6" t="s">
        <v>72</v>
      </c>
      <c r="X1" s="6" t="s">
        <v>74</v>
      </c>
      <c r="Y1" s="6" t="s">
        <v>76</v>
      </c>
      <c r="Z1" s="6" t="s">
        <v>78</v>
      </c>
      <c r="AA1" s="6" t="s">
        <v>81</v>
      </c>
      <c r="AB1" s="6" t="s">
        <v>82</v>
      </c>
      <c r="AC1" s="6" t="s">
        <v>83</v>
      </c>
      <c r="AD1" s="6" t="s">
        <v>84</v>
      </c>
      <c r="AE1" s="6" t="s">
        <v>85</v>
      </c>
      <c r="AF1" s="6" t="s">
        <v>40</v>
      </c>
      <c r="AG1" s="6" t="s">
        <v>44</v>
      </c>
      <c r="AH1" s="6" t="s">
        <v>47</v>
      </c>
      <c r="AI1" s="6" t="s">
        <v>87</v>
      </c>
      <c r="AJ1" s="6" t="s">
        <v>50</v>
      </c>
      <c r="AK1" s="6" t="s">
        <v>90</v>
      </c>
      <c r="AL1" s="6" t="s">
        <v>91</v>
      </c>
      <c r="AM1" s="6" t="s">
        <v>89</v>
      </c>
      <c r="AN1" s="6" t="s">
        <v>86</v>
      </c>
      <c r="AO1" s="6" t="s">
        <v>92</v>
      </c>
    </row>
    <row r="2">
      <c r="A2" s="7">
        <v>1.0</v>
      </c>
      <c r="B2" s="7" t="s">
        <v>97</v>
      </c>
      <c r="C2" s="7" t="s">
        <v>98</v>
      </c>
      <c r="D2" s="8" t="s">
        <v>99</v>
      </c>
      <c r="E2" s="8" t="s">
        <v>100</v>
      </c>
      <c r="F2" s="8" t="s">
        <v>101</v>
      </c>
      <c r="G2" s="8" t="s">
        <v>102</v>
      </c>
      <c r="H2" s="8" t="s">
        <v>103</v>
      </c>
      <c r="I2" s="8" t="s">
        <v>104</v>
      </c>
      <c r="J2" s="9">
        <v>1949.0</v>
      </c>
      <c r="K2" s="9">
        <v>1999.0</v>
      </c>
      <c r="L2" s="8" t="s">
        <v>105</v>
      </c>
      <c r="M2" s="8" t="s">
        <v>106</v>
      </c>
      <c r="N2" s="8" t="s">
        <v>107</v>
      </c>
      <c r="O2" s="9">
        <v>3418300.0</v>
      </c>
      <c r="P2" s="8" t="s">
        <v>108</v>
      </c>
      <c r="Q2" s="12">
        <f t="shared" ref="Q2:Q125" si="1">IF(O2="","",IF(P2="税抜",O2*1.1,O2)/10000)</f>
        <v>341.83</v>
      </c>
      <c r="R2" s="7" t="str">
        <f t="shared" ref="R2:R125" si="2">IF(Q2="","不明",IF(Q2&lt;=500,"〜500万",IF(Q2&lt;=1000,"500〜1,000万",IF(Q2&lt;=3000,"1,000〜3,000万","3,000万〜"))))</f>
        <v>〜500万</v>
      </c>
      <c r="S2" s="8" t="s">
        <v>116</v>
      </c>
      <c r="T2" s="9">
        <v>170000.0</v>
      </c>
      <c r="U2" s="9">
        <v>6.0</v>
      </c>
      <c r="V2" s="7" t="str">
        <f t="shared" ref="V2:V125" si="3">IF(U2="","不明",IF(U2&lt;=6,"〜6ヶ月",IF(U2&lt;=12,"7〜12ヶ月",IF(U2&lt;=24,"13〜24ヶ月","25ヶ月〜"))))</f>
        <v>〜6ヶ月</v>
      </c>
      <c r="W2" s="8" t="s">
        <v>119</v>
      </c>
      <c r="X2" s="8" t="s">
        <v>120</v>
      </c>
      <c r="Y2" s="8" t="s">
        <v>121</v>
      </c>
      <c r="Z2" s="8" t="s">
        <v>122</v>
      </c>
      <c r="AA2" s="8" t="s">
        <v>124</v>
      </c>
      <c r="AB2" s="8" t="s">
        <v>125</v>
      </c>
      <c r="AC2" s="8" t="s">
        <v>126</v>
      </c>
      <c r="AD2" s="8"/>
      <c r="AE2" s="8" t="s">
        <v>127</v>
      </c>
      <c r="AF2" s="8" t="s">
        <v>128</v>
      </c>
      <c r="AG2" s="8"/>
      <c r="AH2" s="7" t="str">
        <f t="shared" ref="AH2:AH125" si="4">IF(AD2&lt;&gt;"","未読",IF(AND(D2&lt;&gt;"接続検討回答",D2&lt;&gt;"再接続検討",D2&lt;&gt;"契約申込回答"),"",TRIM(IF(O2="","負担金なし ","")&amp;IF(U2="","工期なし ","")&amp;IF(AND(O2&lt;&gt;"",OR(P2="",P2="不明")),"税区分不明 ","")&amp;IF(AC2="low","信頼度low",""))))</f>
        <v/>
      </c>
      <c r="AI2" s="7"/>
      <c r="AJ2" s="13" t="s">
        <v>134</v>
      </c>
      <c r="AK2" s="13"/>
      <c r="AL2" s="13"/>
      <c r="AM2" s="14" t="s">
        <v>96</v>
      </c>
      <c r="AN2" s="7" t="s">
        <v>150</v>
      </c>
      <c r="AO2" s="7" t="s">
        <v>152</v>
      </c>
    </row>
    <row r="3">
      <c r="A3" s="7">
        <v>2.0</v>
      </c>
      <c r="B3" s="7" t="s">
        <v>97</v>
      </c>
      <c r="C3" s="7" t="s">
        <v>98</v>
      </c>
      <c r="D3" s="8" t="s">
        <v>154</v>
      </c>
      <c r="E3" s="8" t="s">
        <v>100</v>
      </c>
      <c r="F3" s="8" t="s">
        <v>155</v>
      </c>
      <c r="G3" s="8"/>
      <c r="H3" s="8" t="s">
        <v>156</v>
      </c>
      <c r="I3" s="8" t="s">
        <v>157</v>
      </c>
      <c r="J3" s="9">
        <v>1949.0</v>
      </c>
      <c r="K3" s="9">
        <v>1999.0</v>
      </c>
      <c r="L3" s="8" t="s">
        <v>158</v>
      </c>
      <c r="M3" s="8" t="s">
        <v>159</v>
      </c>
      <c r="N3" s="8" t="s">
        <v>160</v>
      </c>
      <c r="O3" s="9">
        <v>3418334.0</v>
      </c>
      <c r="P3" s="8" t="s">
        <v>108</v>
      </c>
      <c r="Q3" s="12">
        <f t="shared" si="1"/>
        <v>341.8334</v>
      </c>
      <c r="R3" s="7" t="str">
        <f t="shared" si="2"/>
        <v>〜500万</v>
      </c>
      <c r="S3" s="8" t="s">
        <v>167</v>
      </c>
      <c r="T3" s="9"/>
      <c r="U3" s="9">
        <v>10.0</v>
      </c>
      <c r="V3" s="7" t="str">
        <f t="shared" si="3"/>
        <v>7〜12ヶ月</v>
      </c>
      <c r="W3" s="8" t="s">
        <v>170</v>
      </c>
      <c r="X3" s="8" t="s">
        <v>172</v>
      </c>
      <c r="Y3" s="8" t="s">
        <v>174</v>
      </c>
      <c r="Z3" s="8" t="s">
        <v>175</v>
      </c>
      <c r="AA3" s="8" t="s">
        <v>177</v>
      </c>
      <c r="AB3" s="8"/>
      <c r="AC3" s="8" t="s">
        <v>126</v>
      </c>
      <c r="AD3" s="8"/>
      <c r="AE3" s="8" t="s">
        <v>179</v>
      </c>
      <c r="AF3" s="8" t="s">
        <v>182</v>
      </c>
      <c r="AG3" s="8"/>
      <c r="AH3" s="7" t="str">
        <f t="shared" si="4"/>
        <v/>
      </c>
      <c r="AI3" s="7"/>
      <c r="AJ3" s="13" t="s">
        <v>134</v>
      </c>
      <c r="AK3" s="13"/>
      <c r="AL3" s="13"/>
      <c r="AM3" s="14" t="s">
        <v>96</v>
      </c>
      <c r="AN3" s="7" t="s">
        <v>205</v>
      </c>
      <c r="AO3" s="7" t="s">
        <v>208</v>
      </c>
    </row>
    <row r="4">
      <c r="A4" s="7">
        <v>3.0</v>
      </c>
      <c r="B4" s="7" t="s">
        <v>209</v>
      </c>
      <c r="C4" s="7" t="s">
        <v>210</v>
      </c>
      <c r="D4" s="8" t="s">
        <v>99</v>
      </c>
      <c r="E4" s="8" t="s">
        <v>211</v>
      </c>
      <c r="F4" s="8" t="s">
        <v>212</v>
      </c>
      <c r="G4" s="8" t="s">
        <v>213</v>
      </c>
      <c r="H4" s="8" t="s">
        <v>214</v>
      </c>
      <c r="I4" s="8" t="s">
        <v>215</v>
      </c>
      <c r="J4" s="9">
        <v>1998.0</v>
      </c>
      <c r="K4" s="9">
        <v>1999.0</v>
      </c>
      <c r="L4" s="8" t="s">
        <v>216</v>
      </c>
      <c r="M4" s="8" t="s">
        <v>217</v>
      </c>
      <c r="N4" s="8" t="s">
        <v>218</v>
      </c>
      <c r="O4" s="9">
        <v>5817700.0</v>
      </c>
      <c r="P4" s="8" t="s">
        <v>108</v>
      </c>
      <c r="Q4" s="12">
        <f t="shared" si="1"/>
        <v>581.77</v>
      </c>
      <c r="R4" s="7" t="str">
        <f t="shared" si="2"/>
        <v>500〜1,000万</v>
      </c>
      <c r="S4" s="8" t="s">
        <v>219</v>
      </c>
      <c r="T4" s="9">
        <v>290000.0</v>
      </c>
      <c r="U4" s="9">
        <v>5.0</v>
      </c>
      <c r="V4" s="7" t="str">
        <f t="shared" si="3"/>
        <v>〜6ヶ月</v>
      </c>
      <c r="W4" s="8" t="s">
        <v>220</v>
      </c>
      <c r="X4" s="8" t="s">
        <v>221</v>
      </c>
      <c r="Y4" s="8" t="s">
        <v>222</v>
      </c>
      <c r="Z4" s="8" t="s">
        <v>223</v>
      </c>
      <c r="AA4" s="8" t="s">
        <v>224</v>
      </c>
      <c r="AB4" s="8" t="s">
        <v>125</v>
      </c>
      <c r="AC4" s="8" t="s">
        <v>126</v>
      </c>
      <c r="AD4" s="8"/>
      <c r="AE4" s="8" t="s">
        <v>225</v>
      </c>
      <c r="AF4" s="8" t="s">
        <v>128</v>
      </c>
      <c r="AG4" s="8"/>
      <c r="AH4" s="7" t="str">
        <f t="shared" si="4"/>
        <v/>
      </c>
      <c r="AI4" s="7"/>
      <c r="AJ4" s="13" t="s">
        <v>134</v>
      </c>
      <c r="AK4" s="13"/>
      <c r="AL4" s="13"/>
      <c r="AM4" s="14" t="s">
        <v>96</v>
      </c>
      <c r="AN4" s="7" t="s">
        <v>229</v>
      </c>
      <c r="AO4" s="7" t="s">
        <v>230</v>
      </c>
    </row>
    <row r="5">
      <c r="A5" s="7">
        <v>4.0</v>
      </c>
      <c r="B5" s="7" t="s">
        <v>209</v>
      </c>
      <c r="C5" s="7" t="s">
        <v>210</v>
      </c>
      <c r="D5" s="8" t="s">
        <v>231</v>
      </c>
      <c r="E5" s="8" t="s">
        <v>211</v>
      </c>
      <c r="F5" s="8" t="s">
        <v>232</v>
      </c>
      <c r="G5" s="8"/>
      <c r="H5" s="8" t="s">
        <v>214</v>
      </c>
      <c r="I5" s="8" t="s">
        <v>215</v>
      </c>
      <c r="J5" s="9"/>
      <c r="K5" s="9"/>
      <c r="L5" s="8"/>
      <c r="M5" s="8"/>
      <c r="N5" s="8"/>
      <c r="O5" s="9"/>
      <c r="P5" s="8" t="s">
        <v>131</v>
      </c>
      <c r="Q5" s="12" t="str">
        <f t="shared" si="1"/>
        <v/>
      </c>
      <c r="R5" s="7" t="str">
        <f t="shared" si="2"/>
        <v>不明</v>
      </c>
      <c r="S5" s="8"/>
      <c r="T5" s="9">
        <v>290000.0</v>
      </c>
      <c r="U5" s="9"/>
      <c r="V5" s="7" t="str">
        <f t="shared" si="3"/>
        <v>不明</v>
      </c>
      <c r="W5" s="8"/>
      <c r="X5" s="8"/>
      <c r="Y5" s="8"/>
      <c r="Z5" s="8"/>
      <c r="AA5" s="8"/>
      <c r="AB5" s="8" t="s">
        <v>234</v>
      </c>
      <c r="AC5" s="8" t="s">
        <v>126</v>
      </c>
      <c r="AD5" s="8"/>
      <c r="AE5" s="8" t="s">
        <v>236</v>
      </c>
      <c r="AF5" s="8" t="s">
        <v>128</v>
      </c>
      <c r="AG5" s="8"/>
      <c r="AH5" s="7" t="str">
        <f t="shared" si="4"/>
        <v/>
      </c>
      <c r="AI5" s="7"/>
      <c r="AJ5" s="13" t="s">
        <v>134</v>
      </c>
      <c r="AK5" s="13"/>
      <c r="AL5" s="13"/>
      <c r="AM5" s="14" t="s">
        <v>96</v>
      </c>
      <c r="AN5" s="7" t="s">
        <v>238</v>
      </c>
      <c r="AO5" s="7" t="s">
        <v>239</v>
      </c>
    </row>
    <row r="6">
      <c r="A6" s="7">
        <v>5.0</v>
      </c>
      <c r="B6" s="7" t="s">
        <v>209</v>
      </c>
      <c r="C6" s="7" t="s">
        <v>210</v>
      </c>
      <c r="D6" s="8" t="s">
        <v>240</v>
      </c>
      <c r="E6" s="8" t="s">
        <v>211</v>
      </c>
      <c r="F6" s="8" t="s">
        <v>241</v>
      </c>
      <c r="G6" s="8" t="s">
        <v>242</v>
      </c>
      <c r="H6" s="8" t="s">
        <v>214</v>
      </c>
      <c r="I6" s="8" t="s">
        <v>215</v>
      </c>
      <c r="J6" s="9">
        <v>1998.0</v>
      </c>
      <c r="K6" s="9">
        <v>1999.0</v>
      </c>
      <c r="L6" s="8" t="s">
        <v>216</v>
      </c>
      <c r="M6" s="8" t="s">
        <v>246</v>
      </c>
      <c r="N6" s="8" t="s">
        <v>247</v>
      </c>
      <c r="O6" s="9">
        <v>2.62395E7</v>
      </c>
      <c r="P6" s="8" t="s">
        <v>108</v>
      </c>
      <c r="Q6" s="12">
        <f t="shared" si="1"/>
        <v>2623.95</v>
      </c>
      <c r="R6" s="7" t="str">
        <f t="shared" si="2"/>
        <v>1,000〜3,000万</v>
      </c>
      <c r="S6" s="8" t="s">
        <v>248</v>
      </c>
      <c r="T6" s="9">
        <v>2623000.0</v>
      </c>
      <c r="U6" s="9">
        <v>18.0</v>
      </c>
      <c r="V6" s="7" t="str">
        <f t="shared" si="3"/>
        <v>13〜24ヶ月</v>
      </c>
      <c r="W6" s="8" t="s">
        <v>249</v>
      </c>
      <c r="X6" s="8" t="s">
        <v>250</v>
      </c>
      <c r="Y6" s="8" t="s">
        <v>251</v>
      </c>
      <c r="Z6" s="8" t="s">
        <v>252</v>
      </c>
      <c r="AA6" s="8" t="s">
        <v>253</v>
      </c>
      <c r="AB6" s="8" t="s">
        <v>125</v>
      </c>
      <c r="AC6" s="8" t="s">
        <v>126</v>
      </c>
      <c r="AD6" s="8"/>
      <c r="AE6" s="8" t="s">
        <v>254</v>
      </c>
      <c r="AF6" s="8" t="s">
        <v>182</v>
      </c>
      <c r="AG6" s="8"/>
      <c r="AH6" s="7" t="str">
        <f t="shared" si="4"/>
        <v/>
      </c>
      <c r="AI6" s="7"/>
      <c r="AJ6" s="13" t="s">
        <v>134</v>
      </c>
      <c r="AK6" s="13"/>
      <c r="AL6" s="13"/>
      <c r="AM6" s="14" t="s">
        <v>96</v>
      </c>
      <c r="AN6" s="7" t="s">
        <v>258</v>
      </c>
      <c r="AO6" s="7" t="s">
        <v>259</v>
      </c>
    </row>
    <row r="7">
      <c r="A7" s="7">
        <v>6.0</v>
      </c>
      <c r="B7" s="7" t="s">
        <v>260</v>
      </c>
      <c r="C7" s="7" t="s">
        <v>93</v>
      </c>
      <c r="D7" s="8" t="s">
        <v>99</v>
      </c>
      <c r="E7" s="8" t="s">
        <v>261</v>
      </c>
      <c r="F7" s="8" t="s">
        <v>262</v>
      </c>
      <c r="G7" s="8" t="s">
        <v>263</v>
      </c>
      <c r="H7" s="8" t="s">
        <v>264</v>
      </c>
      <c r="I7" s="8" t="s">
        <v>265</v>
      </c>
      <c r="J7" s="9">
        <v>1994.0</v>
      </c>
      <c r="K7" s="9">
        <v>1999.0</v>
      </c>
      <c r="L7" s="8" t="s">
        <v>216</v>
      </c>
      <c r="M7" s="8" t="s">
        <v>266</v>
      </c>
      <c r="N7" s="8" t="s">
        <v>267</v>
      </c>
      <c r="O7" s="9">
        <v>3.2E7</v>
      </c>
      <c r="P7" s="8" t="s">
        <v>108</v>
      </c>
      <c r="Q7" s="12">
        <f t="shared" si="1"/>
        <v>3200</v>
      </c>
      <c r="R7" s="7" t="str">
        <f t="shared" si="2"/>
        <v>3,000万〜</v>
      </c>
      <c r="S7" s="8" t="s">
        <v>268</v>
      </c>
      <c r="T7" s="9"/>
      <c r="U7" s="9">
        <v>31.0</v>
      </c>
      <c r="V7" s="7" t="str">
        <f t="shared" si="3"/>
        <v>25ヶ月〜</v>
      </c>
      <c r="W7" s="8" t="s">
        <v>269</v>
      </c>
      <c r="X7" s="8" t="s">
        <v>270</v>
      </c>
      <c r="Y7" s="8" t="s">
        <v>271</v>
      </c>
      <c r="Z7" s="8" t="s">
        <v>272</v>
      </c>
      <c r="AA7" s="8" t="s">
        <v>274</v>
      </c>
      <c r="AB7" s="8" t="s">
        <v>125</v>
      </c>
      <c r="AC7" s="8" t="s">
        <v>126</v>
      </c>
      <c r="AD7" s="8"/>
      <c r="AE7" s="8" t="s">
        <v>276</v>
      </c>
      <c r="AF7" s="8" t="s">
        <v>128</v>
      </c>
      <c r="AG7" s="8" t="s">
        <v>95</v>
      </c>
      <c r="AH7" s="7" t="str">
        <f t="shared" si="4"/>
        <v/>
      </c>
      <c r="AI7" s="7"/>
      <c r="AJ7" s="13" t="s">
        <v>134</v>
      </c>
      <c r="AK7" s="13"/>
      <c r="AL7" s="13"/>
      <c r="AM7" s="14" t="s">
        <v>96</v>
      </c>
      <c r="AN7" s="7" t="s">
        <v>94</v>
      </c>
      <c r="AO7" s="7" t="s">
        <v>94</v>
      </c>
    </row>
    <row r="8">
      <c r="A8" s="7">
        <v>7.0</v>
      </c>
      <c r="B8" s="7" t="s">
        <v>260</v>
      </c>
      <c r="C8" s="7" t="s">
        <v>93</v>
      </c>
      <c r="D8" s="8" t="s">
        <v>154</v>
      </c>
      <c r="E8" s="8" t="s">
        <v>261</v>
      </c>
      <c r="F8" s="8" t="s">
        <v>281</v>
      </c>
      <c r="G8" s="8" t="s">
        <v>282</v>
      </c>
      <c r="H8" s="8" t="s">
        <v>283</v>
      </c>
      <c r="I8" s="8" t="s">
        <v>265</v>
      </c>
      <c r="J8" s="9">
        <v>1994.0</v>
      </c>
      <c r="K8" s="9">
        <v>1999.0</v>
      </c>
      <c r="L8" s="8" t="s">
        <v>216</v>
      </c>
      <c r="M8" s="8" t="s">
        <v>284</v>
      </c>
      <c r="N8" s="8" t="s">
        <v>285</v>
      </c>
      <c r="O8" s="9">
        <v>3.250691E7</v>
      </c>
      <c r="P8" s="8" t="s">
        <v>108</v>
      </c>
      <c r="Q8" s="12">
        <f t="shared" si="1"/>
        <v>3250.691</v>
      </c>
      <c r="R8" s="7" t="str">
        <f t="shared" si="2"/>
        <v>3,000万〜</v>
      </c>
      <c r="S8" s="8" t="s">
        <v>286</v>
      </c>
      <c r="T8" s="9"/>
      <c r="U8" s="9"/>
      <c r="V8" s="7" t="str">
        <f t="shared" si="3"/>
        <v>不明</v>
      </c>
      <c r="W8" s="8" t="s">
        <v>287</v>
      </c>
      <c r="X8" s="8" t="s">
        <v>288</v>
      </c>
      <c r="Y8" s="8" t="s">
        <v>289</v>
      </c>
      <c r="Z8" s="8" t="s">
        <v>290</v>
      </c>
      <c r="AA8" s="8" t="s">
        <v>291</v>
      </c>
      <c r="AB8" s="8"/>
      <c r="AC8" s="8" t="s">
        <v>293</v>
      </c>
      <c r="AD8" s="8"/>
      <c r="AE8" s="8" t="s">
        <v>296</v>
      </c>
      <c r="AF8" s="8" t="s">
        <v>182</v>
      </c>
      <c r="AG8" s="8"/>
      <c r="AH8" s="7" t="str">
        <f t="shared" si="4"/>
        <v>工期なし</v>
      </c>
      <c r="AI8" s="7"/>
      <c r="AJ8" s="13" t="s">
        <v>134</v>
      </c>
      <c r="AK8" s="13"/>
      <c r="AL8" s="13"/>
      <c r="AM8" s="14" t="s">
        <v>96</v>
      </c>
      <c r="AN8" s="7" t="s">
        <v>110</v>
      </c>
      <c r="AO8" s="7" t="s">
        <v>110</v>
      </c>
    </row>
    <row r="9">
      <c r="A9" s="7">
        <v>8.0</v>
      </c>
      <c r="B9" s="7" t="s">
        <v>260</v>
      </c>
      <c r="C9" s="7" t="s">
        <v>93</v>
      </c>
      <c r="D9" s="8" t="s">
        <v>231</v>
      </c>
      <c r="E9" s="8" t="s">
        <v>261</v>
      </c>
      <c r="F9" s="8" t="s">
        <v>281</v>
      </c>
      <c r="G9" s="8"/>
      <c r="H9" s="8" t="s">
        <v>283</v>
      </c>
      <c r="I9" s="8" t="s">
        <v>265</v>
      </c>
      <c r="J9" s="9">
        <v>1994.0</v>
      </c>
      <c r="K9" s="9">
        <v>1999.0</v>
      </c>
      <c r="L9" s="8" t="s">
        <v>216</v>
      </c>
      <c r="M9" s="8" t="s">
        <v>284</v>
      </c>
      <c r="N9" s="8" t="s">
        <v>285</v>
      </c>
      <c r="O9" s="9">
        <v>3.250691E7</v>
      </c>
      <c r="P9" s="8" t="s">
        <v>108</v>
      </c>
      <c r="Q9" s="12">
        <f t="shared" si="1"/>
        <v>3250.691</v>
      </c>
      <c r="R9" s="7" t="str">
        <f t="shared" si="2"/>
        <v>3,000万〜</v>
      </c>
      <c r="S9" s="8" t="s">
        <v>300</v>
      </c>
      <c r="T9" s="9">
        <v>1600000.0</v>
      </c>
      <c r="U9" s="9"/>
      <c r="V9" s="7" t="str">
        <f t="shared" si="3"/>
        <v>不明</v>
      </c>
      <c r="W9" s="8" t="s">
        <v>301</v>
      </c>
      <c r="X9" s="8" t="s">
        <v>302</v>
      </c>
      <c r="Y9" s="8"/>
      <c r="Z9" s="8"/>
      <c r="AA9" s="8" t="s">
        <v>303</v>
      </c>
      <c r="AB9" s="8"/>
      <c r="AC9" s="8" t="s">
        <v>126</v>
      </c>
      <c r="AD9" s="8"/>
      <c r="AE9" s="8" t="s">
        <v>304</v>
      </c>
      <c r="AF9" s="8" t="s">
        <v>128</v>
      </c>
      <c r="AG9" s="8"/>
      <c r="AH9" s="7" t="str">
        <f t="shared" si="4"/>
        <v/>
      </c>
      <c r="AI9" s="7"/>
      <c r="AJ9" s="13" t="s">
        <v>134</v>
      </c>
      <c r="AK9" s="13"/>
      <c r="AL9" s="13"/>
      <c r="AM9" s="14" t="s">
        <v>96</v>
      </c>
      <c r="AN9" s="7" t="s">
        <v>307</v>
      </c>
      <c r="AO9" s="7" t="s">
        <v>307</v>
      </c>
    </row>
    <row r="10">
      <c r="A10" s="7">
        <v>9.0</v>
      </c>
      <c r="B10" s="7" t="s">
        <v>260</v>
      </c>
      <c r="C10" s="7" t="s">
        <v>93</v>
      </c>
      <c r="D10" s="8" t="s">
        <v>231</v>
      </c>
      <c r="E10" s="8" t="s">
        <v>261</v>
      </c>
      <c r="F10" s="8" t="s">
        <v>281</v>
      </c>
      <c r="G10" s="8" t="s">
        <v>282</v>
      </c>
      <c r="H10" s="8" t="s">
        <v>283</v>
      </c>
      <c r="I10" s="8" t="s">
        <v>265</v>
      </c>
      <c r="J10" s="9">
        <v>1994.0</v>
      </c>
      <c r="K10" s="9">
        <v>1999.0</v>
      </c>
      <c r="L10" s="8" t="s">
        <v>216</v>
      </c>
      <c r="M10" s="8" t="s">
        <v>284</v>
      </c>
      <c r="N10" s="8" t="s">
        <v>285</v>
      </c>
      <c r="O10" s="9"/>
      <c r="P10" s="8" t="s">
        <v>131</v>
      </c>
      <c r="Q10" s="12" t="str">
        <f t="shared" si="1"/>
        <v/>
      </c>
      <c r="R10" s="7" t="str">
        <f t="shared" si="2"/>
        <v>不明</v>
      </c>
      <c r="S10" s="8"/>
      <c r="T10" s="9"/>
      <c r="U10" s="9"/>
      <c r="V10" s="7" t="str">
        <f t="shared" si="3"/>
        <v>不明</v>
      </c>
      <c r="W10" s="8"/>
      <c r="X10" s="8" t="s">
        <v>311</v>
      </c>
      <c r="Y10" s="8"/>
      <c r="Z10" s="8"/>
      <c r="AA10" s="8" t="s">
        <v>312</v>
      </c>
      <c r="AB10" s="8"/>
      <c r="AC10" s="8" t="s">
        <v>293</v>
      </c>
      <c r="AD10" s="8"/>
      <c r="AE10" s="8" t="s">
        <v>313</v>
      </c>
      <c r="AF10" s="8" t="s">
        <v>128</v>
      </c>
      <c r="AG10" s="8"/>
      <c r="AH10" s="7" t="str">
        <f t="shared" si="4"/>
        <v/>
      </c>
      <c r="AI10" s="7"/>
      <c r="AJ10" s="13" t="s">
        <v>134</v>
      </c>
      <c r="AK10" s="13"/>
      <c r="AL10" s="13"/>
      <c r="AM10" s="14" t="s">
        <v>96</v>
      </c>
      <c r="AN10" s="7" t="s">
        <v>316</v>
      </c>
      <c r="AO10" s="7" t="s">
        <v>316</v>
      </c>
    </row>
    <row r="11">
      <c r="A11" s="7">
        <v>10.0</v>
      </c>
      <c r="B11" s="7" t="s">
        <v>317</v>
      </c>
      <c r="C11" s="7" t="s">
        <v>113</v>
      </c>
      <c r="D11" s="8" t="s">
        <v>99</v>
      </c>
      <c r="E11" s="8" t="s">
        <v>261</v>
      </c>
      <c r="F11" s="8"/>
      <c r="G11" s="8"/>
      <c r="H11" s="8" t="s">
        <v>318</v>
      </c>
      <c r="I11" s="8" t="s">
        <v>319</v>
      </c>
      <c r="J11" s="9"/>
      <c r="K11" s="9"/>
      <c r="L11" s="8"/>
      <c r="M11" s="8"/>
      <c r="N11" s="8"/>
      <c r="O11" s="9"/>
      <c r="P11" s="8" t="s">
        <v>131</v>
      </c>
      <c r="Q11" s="12" t="str">
        <f t="shared" si="1"/>
        <v/>
      </c>
      <c r="R11" s="7" t="str">
        <f t="shared" si="2"/>
        <v>不明</v>
      </c>
      <c r="S11" s="8"/>
      <c r="T11" s="9"/>
      <c r="U11" s="9"/>
      <c r="V11" s="7" t="str">
        <f t="shared" si="3"/>
        <v>不明</v>
      </c>
      <c r="W11" s="8"/>
      <c r="X11" s="8"/>
      <c r="Y11" s="8"/>
      <c r="Z11" s="8"/>
      <c r="AA11" s="8"/>
      <c r="AB11" s="8" t="s">
        <v>321</v>
      </c>
      <c r="AC11" s="8" t="s">
        <v>322</v>
      </c>
      <c r="AD11" s="8" t="s">
        <v>323</v>
      </c>
      <c r="AE11" s="8" t="s">
        <v>326</v>
      </c>
      <c r="AF11" s="8" t="s">
        <v>128</v>
      </c>
      <c r="AG11" s="8"/>
      <c r="AH11" s="7" t="str">
        <f t="shared" si="4"/>
        <v>未読</v>
      </c>
      <c r="AI11" s="7"/>
      <c r="AJ11" s="13" t="s">
        <v>134</v>
      </c>
      <c r="AK11" s="13"/>
      <c r="AL11" s="13"/>
      <c r="AM11" s="14" t="s">
        <v>96</v>
      </c>
      <c r="AN11" s="7" t="s">
        <v>114</v>
      </c>
      <c r="AO11" s="7" t="s">
        <v>328</v>
      </c>
    </row>
    <row r="12">
      <c r="A12" s="7">
        <v>11.0</v>
      </c>
      <c r="B12" s="7" t="s">
        <v>329</v>
      </c>
      <c r="C12" s="7" t="s">
        <v>117</v>
      </c>
      <c r="D12" s="8" t="s">
        <v>99</v>
      </c>
      <c r="E12" s="8" t="s">
        <v>100</v>
      </c>
      <c r="F12" s="8" t="s">
        <v>331</v>
      </c>
      <c r="G12" s="8" t="s">
        <v>333</v>
      </c>
      <c r="H12" s="8" t="s">
        <v>334</v>
      </c>
      <c r="I12" s="8" t="s">
        <v>335</v>
      </c>
      <c r="J12" s="9">
        <v>49880.0</v>
      </c>
      <c r="K12" s="9">
        <v>50000.0</v>
      </c>
      <c r="L12" s="8" t="s">
        <v>337</v>
      </c>
      <c r="M12" s="8" t="s">
        <v>338</v>
      </c>
      <c r="N12" s="8" t="s">
        <v>339</v>
      </c>
      <c r="O12" s="9">
        <v>9.229E8</v>
      </c>
      <c r="P12" s="8" t="s">
        <v>108</v>
      </c>
      <c r="Q12" s="12">
        <f t="shared" si="1"/>
        <v>92290</v>
      </c>
      <c r="R12" s="7" t="str">
        <f t="shared" si="2"/>
        <v>3,000万〜</v>
      </c>
      <c r="S12" s="8" t="s">
        <v>340</v>
      </c>
      <c r="T12" s="9"/>
      <c r="U12" s="9">
        <v>57.0</v>
      </c>
      <c r="V12" s="7" t="str">
        <f t="shared" si="3"/>
        <v>25ヶ月〜</v>
      </c>
      <c r="W12" s="8" t="s">
        <v>341</v>
      </c>
      <c r="X12" s="8" t="s">
        <v>342</v>
      </c>
      <c r="Y12" s="8" t="s">
        <v>343</v>
      </c>
      <c r="Z12" s="8" t="s">
        <v>344</v>
      </c>
      <c r="AA12" s="8" t="s">
        <v>345</v>
      </c>
      <c r="AB12" s="8" t="s">
        <v>125</v>
      </c>
      <c r="AC12" s="8" t="s">
        <v>126</v>
      </c>
      <c r="AD12" s="8"/>
      <c r="AE12" s="8" t="s">
        <v>346</v>
      </c>
      <c r="AF12" s="8" t="s">
        <v>182</v>
      </c>
      <c r="AG12" s="8" t="s">
        <v>95</v>
      </c>
      <c r="AH12" s="7" t="str">
        <f t="shared" si="4"/>
        <v/>
      </c>
      <c r="AI12" s="7"/>
      <c r="AJ12" s="13" t="s">
        <v>134</v>
      </c>
      <c r="AK12" s="13"/>
      <c r="AL12" s="13"/>
      <c r="AM12" s="14" t="s">
        <v>96</v>
      </c>
      <c r="AN12" s="7" t="s">
        <v>118</v>
      </c>
      <c r="AO12" s="7" t="s">
        <v>351</v>
      </c>
    </row>
    <row r="13">
      <c r="A13" s="7">
        <v>12.0</v>
      </c>
      <c r="B13" s="7" t="s">
        <v>329</v>
      </c>
      <c r="C13" s="7" t="s">
        <v>117</v>
      </c>
      <c r="D13" s="8" t="s">
        <v>231</v>
      </c>
      <c r="E13" s="8" t="s">
        <v>100</v>
      </c>
      <c r="F13" s="8" t="s">
        <v>331</v>
      </c>
      <c r="G13" s="8" t="s">
        <v>333</v>
      </c>
      <c r="H13" s="8" t="s">
        <v>334</v>
      </c>
      <c r="I13" s="8" t="s">
        <v>335</v>
      </c>
      <c r="J13" s="9"/>
      <c r="K13" s="9"/>
      <c r="L13" s="8"/>
      <c r="M13" s="8"/>
      <c r="N13" s="8"/>
      <c r="O13" s="9">
        <v>1.5202E8</v>
      </c>
      <c r="P13" s="8" t="s">
        <v>108</v>
      </c>
      <c r="Q13" s="12">
        <f t="shared" si="1"/>
        <v>15202</v>
      </c>
      <c r="R13" s="7" t="str">
        <f t="shared" si="2"/>
        <v>3,000万〜</v>
      </c>
      <c r="S13" s="8" t="s">
        <v>354</v>
      </c>
      <c r="T13" s="9"/>
      <c r="U13" s="9"/>
      <c r="V13" s="7" t="str">
        <f t="shared" si="3"/>
        <v>不明</v>
      </c>
      <c r="W13" s="8" t="s">
        <v>355</v>
      </c>
      <c r="X13" s="8"/>
      <c r="Y13" s="8" t="s">
        <v>356</v>
      </c>
      <c r="Z13" s="8"/>
      <c r="AA13" s="8" t="s">
        <v>357</v>
      </c>
      <c r="AB13" s="8"/>
      <c r="AC13" s="8" t="s">
        <v>126</v>
      </c>
      <c r="AD13" s="8"/>
      <c r="AE13" s="8" t="s">
        <v>358</v>
      </c>
      <c r="AF13" s="8" t="s">
        <v>128</v>
      </c>
      <c r="AG13" s="8"/>
      <c r="AH13" s="7" t="str">
        <f t="shared" si="4"/>
        <v/>
      </c>
      <c r="AI13" s="7"/>
      <c r="AJ13" s="13" t="s">
        <v>134</v>
      </c>
      <c r="AK13" s="13"/>
      <c r="AL13" s="13"/>
      <c r="AM13" s="14" t="s">
        <v>96</v>
      </c>
      <c r="AN13" s="7" t="s">
        <v>363</v>
      </c>
      <c r="AO13" s="7" t="s">
        <v>364</v>
      </c>
    </row>
    <row r="14">
      <c r="A14" s="7">
        <v>13.0</v>
      </c>
      <c r="B14" s="7" t="s">
        <v>366</v>
      </c>
      <c r="C14" s="7" t="s">
        <v>129</v>
      </c>
      <c r="D14" s="8" t="s">
        <v>99</v>
      </c>
      <c r="E14" s="8" t="s">
        <v>211</v>
      </c>
      <c r="F14" s="8"/>
      <c r="G14" s="8"/>
      <c r="H14" s="8"/>
      <c r="I14" s="8"/>
      <c r="J14" s="9"/>
      <c r="K14" s="9"/>
      <c r="L14" s="8"/>
      <c r="M14" s="8"/>
      <c r="N14" s="8"/>
      <c r="O14" s="9"/>
      <c r="P14" s="8" t="s">
        <v>131</v>
      </c>
      <c r="Q14" s="12" t="str">
        <f t="shared" si="1"/>
        <v/>
      </c>
      <c r="R14" s="7" t="str">
        <f t="shared" si="2"/>
        <v>不明</v>
      </c>
      <c r="S14" s="8"/>
      <c r="T14" s="9"/>
      <c r="U14" s="9"/>
      <c r="V14" s="7" t="str">
        <f t="shared" si="3"/>
        <v>不明</v>
      </c>
      <c r="W14" s="8"/>
      <c r="X14" s="8"/>
      <c r="Y14" s="8"/>
      <c r="Z14" s="8"/>
      <c r="AA14" s="8"/>
      <c r="AB14" s="8"/>
      <c r="AC14" s="8" t="s">
        <v>322</v>
      </c>
      <c r="AD14" s="8" t="s">
        <v>323</v>
      </c>
      <c r="AE14" s="8" t="s">
        <v>370</v>
      </c>
      <c r="AF14" s="8" t="s">
        <v>128</v>
      </c>
      <c r="AG14" s="8"/>
      <c r="AH14" s="7" t="str">
        <f t="shared" si="4"/>
        <v>未読</v>
      </c>
      <c r="AI14" s="7"/>
      <c r="AJ14" s="13" t="s">
        <v>134</v>
      </c>
      <c r="AK14" s="13"/>
      <c r="AL14" s="13"/>
      <c r="AM14" s="14" t="s">
        <v>96</v>
      </c>
      <c r="AN14" s="7" t="s">
        <v>130</v>
      </c>
      <c r="AO14" s="7" t="s">
        <v>373</v>
      </c>
    </row>
    <row r="15">
      <c r="A15" s="7">
        <v>14.0</v>
      </c>
      <c r="B15" s="7" t="s">
        <v>374</v>
      </c>
      <c r="C15" s="7" t="s">
        <v>132</v>
      </c>
      <c r="D15" s="8" t="s">
        <v>99</v>
      </c>
      <c r="E15" s="8" t="s">
        <v>375</v>
      </c>
      <c r="F15" s="8" t="s">
        <v>376</v>
      </c>
      <c r="G15" s="8" t="s">
        <v>377</v>
      </c>
      <c r="H15" s="8" t="s">
        <v>378</v>
      </c>
      <c r="I15" s="8" t="s">
        <v>379</v>
      </c>
      <c r="J15" s="9">
        <v>20395.0</v>
      </c>
      <c r="K15" s="9">
        <v>20450.0</v>
      </c>
      <c r="L15" s="8" t="s">
        <v>380</v>
      </c>
      <c r="M15" s="8" t="s">
        <v>381</v>
      </c>
      <c r="N15" s="8" t="s">
        <v>382</v>
      </c>
      <c r="O15" s="9">
        <v>6.35E7</v>
      </c>
      <c r="P15" s="8" t="s">
        <v>108</v>
      </c>
      <c r="Q15" s="12">
        <f t="shared" si="1"/>
        <v>6350</v>
      </c>
      <c r="R15" s="7" t="str">
        <f t="shared" si="2"/>
        <v>3,000万〜</v>
      </c>
      <c r="S15" s="8" t="s">
        <v>383</v>
      </c>
      <c r="T15" s="9"/>
      <c r="U15" s="9">
        <v>26.0</v>
      </c>
      <c r="V15" s="7" t="str">
        <f t="shared" si="3"/>
        <v>25ヶ月〜</v>
      </c>
      <c r="W15" s="8" t="s">
        <v>386</v>
      </c>
      <c r="X15" s="8" t="s">
        <v>387</v>
      </c>
      <c r="Y15" s="8" t="s">
        <v>388</v>
      </c>
      <c r="Z15" s="8" t="s">
        <v>389</v>
      </c>
      <c r="AA15" s="8" t="s">
        <v>390</v>
      </c>
      <c r="AB15" s="8" t="s">
        <v>391</v>
      </c>
      <c r="AC15" s="8" t="s">
        <v>126</v>
      </c>
      <c r="AD15" s="8"/>
      <c r="AE15" s="8" t="s">
        <v>392</v>
      </c>
      <c r="AF15" s="8" t="s">
        <v>182</v>
      </c>
      <c r="AG15" s="8" t="s">
        <v>95</v>
      </c>
      <c r="AH15" s="7" t="str">
        <f t="shared" si="4"/>
        <v/>
      </c>
      <c r="AI15" s="7"/>
      <c r="AJ15" s="13" t="s">
        <v>134</v>
      </c>
      <c r="AK15" s="13"/>
      <c r="AL15" s="13"/>
      <c r="AM15" s="14" t="s">
        <v>96</v>
      </c>
      <c r="AN15" s="7" t="s">
        <v>133</v>
      </c>
      <c r="AO15" s="7" t="s">
        <v>397</v>
      </c>
    </row>
    <row r="16">
      <c r="A16" s="7">
        <v>15.0</v>
      </c>
      <c r="B16" s="7" t="s">
        <v>398</v>
      </c>
      <c r="C16" s="7" t="s">
        <v>135</v>
      </c>
      <c r="D16" s="8" t="s">
        <v>399</v>
      </c>
      <c r="E16" s="8" t="s">
        <v>261</v>
      </c>
      <c r="F16" s="8" t="s">
        <v>400</v>
      </c>
      <c r="G16" s="8" t="s">
        <v>401</v>
      </c>
      <c r="H16" s="8" t="s">
        <v>402</v>
      </c>
      <c r="I16" s="8" t="s">
        <v>403</v>
      </c>
      <c r="J16" s="9">
        <v>100000.0</v>
      </c>
      <c r="K16" s="9"/>
      <c r="L16" s="8" t="s">
        <v>404</v>
      </c>
      <c r="M16" s="8"/>
      <c r="N16" s="8" t="s">
        <v>405</v>
      </c>
      <c r="O16" s="9"/>
      <c r="P16" s="8" t="s">
        <v>131</v>
      </c>
      <c r="Q16" s="12" t="str">
        <f t="shared" si="1"/>
        <v/>
      </c>
      <c r="R16" s="7" t="str">
        <f t="shared" si="2"/>
        <v>不明</v>
      </c>
      <c r="S16" s="8" t="s">
        <v>406</v>
      </c>
      <c r="T16" s="9"/>
      <c r="U16" s="9"/>
      <c r="V16" s="7" t="str">
        <f t="shared" si="3"/>
        <v>不明</v>
      </c>
      <c r="W16" s="8" t="s">
        <v>408</v>
      </c>
      <c r="X16" s="8"/>
      <c r="Y16" s="8"/>
      <c r="Z16" s="8" t="s">
        <v>409</v>
      </c>
      <c r="AA16" s="8" t="s">
        <v>410</v>
      </c>
      <c r="AB16" s="8"/>
      <c r="AC16" s="8" t="s">
        <v>126</v>
      </c>
      <c r="AD16" s="8"/>
      <c r="AE16" s="8" t="s">
        <v>411</v>
      </c>
      <c r="AF16" s="8" t="s">
        <v>128</v>
      </c>
      <c r="AG16" s="8"/>
      <c r="AH16" s="7" t="str">
        <f t="shared" si="4"/>
        <v/>
      </c>
      <c r="AI16" s="7" t="s">
        <v>414</v>
      </c>
      <c r="AJ16" s="13" t="s">
        <v>134</v>
      </c>
      <c r="AK16" s="13"/>
      <c r="AL16" s="13"/>
      <c r="AM16" s="14" t="s">
        <v>96</v>
      </c>
      <c r="AN16" s="7" t="s">
        <v>415</v>
      </c>
      <c r="AO16" s="7" t="s">
        <v>416</v>
      </c>
    </row>
    <row r="17">
      <c r="A17" s="7">
        <v>16.0</v>
      </c>
      <c r="B17" s="7" t="s">
        <v>398</v>
      </c>
      <c r="C17" s="7" t="s">
        <v>135</v>
      </c>
      <c r="D17" s="8" t="s">
        <v>99</v>
      </c>
      <c r="E17" s="8" t="s">
        <v>261</v>
      </c>
      <c r="F17" s="8" t="s">
        <v>417</v>
      </c>
      <c r="G17" s="8" t="s">
        <v>418</v>
      </c>
      <c r="H17" s="8" t="s">
        <v>419</v>
      </c>
      <c r="I17" s="8" t="s">
        <v>420</v>
      </c>
      <c r="J17" s="9">
        <v>1994.0</v>
      </c>
      <c r="K17" s="9">
        <v>1999.0</v>
      </c>
      <c r="L17" s="8" t="s">
        <v>421</v>
      </c>
      <c r="M17" s="8" t="s">
        <v>422</v>
      </c>
      <c r="N17" s="8" t="s">
        <v>423</v>
      </c>
      <c r="O17" s="9">
        <v>1.037E8</v>
      </c>
      <c r="P17" s="8" t="s">
        <v>108</v>
      </c>
      <c r="Q17" s="12">
        <f t="shared" si="1"/>
        <v>10370</v>
      </c>
      <c r="R17" s="7" t="str">
        <f t="shared" si="2"/>
        <v>3,000万〜</v>
      </c>
      <c r="S17" s="8" t="s">
        <v>429</v>
      </c>
      <c r="T17" s="9"/>
      <c r="U17" s="9">
        <v>92.0</v>
      </c>
      <c r="V17" s="7" t="str">
        <f t="shared" si="3"/>
        <v>25ヶ月〜</v>
      </c>
      <c r="W17" s="8" t="s">
        <v>430</v>
      </c>
      <c r="X17" s="8" t="s">
        <v>431</v>
      </c>
      <c r="Y17" s="8" t="s">
        <v>432</v>
      </c>
      <c r="Z17" s="8" t="s">
        <v>433</v>
      </c>
      <c r="AA17" s="8" t="s">
        <v>434</v>
      </c>
      <c r="AB17" s="8" t="s">
        <v>435</v>
      </c>
      <c r="AC17" s="8" t="s">
        <v>126</v>
      </c>
      <c r="AD17" s="8"/>
      <c r="AE17" s="8" t="s">
        <v>436</v>
      </c>
      <c r="AF17" s="8" t="s">
        <v>182</v>
      </c>
      <c r="AG17" s="8" t="s">
        <v>95</v>
      </c>
      <c r="AH17" s="7" t="str">
        <f t="shared" si="4"/>
        <v/>
      </c>
      <c r="AI17" s="7" t="s">
        <v>414</v>
      </c>
      <c r="AJ17" s="13" t="s">
        <v>134</v>
      </c>
      <c r="AK17" s="13"/>
      <c r="AL17" s="13"/>
      <c r="AM17" s="14" t="s">
        <v>96</v>
      </c>
      <c r="AN17" s="7" t="s">
        <v>136</v>
      </c>
      <c r="AO17" s="7" t="s">
        <v>441</v>
      </c>
    </row>
    <row r="18">
      <c r="A18" s="7">
        <v>17.0</v>
      </c>
      <c r="B18" s="7" t="s">
        <v>442</v>
      </c>
      <c r="C18" s="7" t="s">
        <v>443</v>
      </c>
      <c r="D18" s="8" t="s">
        <v>399</v>
      </c>
      <c r="E18" s="8" t="s">
        <v>375</v>
      </c>
      <c r="F18" s="8" t="s">
        <v>444</v>
      </c>
      <c r="G18" s="8" t="s">
        <v>401</v>
      </c>
      <c r="H18" s="8" t="s">
        <v>402</v>
      </c>
      <c r="I18" s="8" t="s">
        <v>445</v>
      </c>
      <c r="J18" s="9">
        <v>25000.0</v>
      </c>
      <c r="K18" s="9"/>
      <c r="L18" s="8" t="s">
        <v>380</v>
      </c>
      <c r="M18" s="8"/>
      <c r="N18" s="8" t="s">
        <v>446</v>
      </c>
      <c r="O18" s="9"/>
      <c r="P18" s="8" t="s">
        <v>131</v>
      </c>
      <c r="Q18" s="12" t="str">
        <f t="shared" si="1"/>
        <v/>
      </c>
      <c r="R18" s="7" t="str">
        <f t="shared" si="2"/>
        <v>不明</v>
      </c>
      <c r="S18" s="8" t="s">
        <v>447</v>
      </c>
      <c r="T18" s="9"/>
      <c r="U18" s="9"/>
      <c r="V18" s="7" t="str">
        <f t="shared" si="3"/>
        <v>不明</v>
      </c>
      <c r="W18" s="8" t="s">
        <v>448</v>
      </c>
      <c r="X18" s="8"/>
      <c r="Y18" s="8"/>
      <c r="Z18" s="8" t="s">
        <v>449</v>
      </c>
      <c r="AA18" s="8" t="s">
        <v>450</v>
      </c>
      <c r="AB18" s="8"/>
      <c r="AC18" s="8" t="s">
        <v>126</v>
      </c>
      <c r="AD18" s="8"/>
      <c r="AE18" s="8" t="s">
        <v>452</v>
      </c>
      <c r="AF18" s="8" t="s">
        <v>128</v>
      </c>
      <c r="AG18" s="8"/>
      <c r="AH18" s="7" t="str">
        <f t="shared" si="4"/>
        <v/>
      </c>
      <c r="AI18" s="7" t="s">
        <v>166</v>
      </c>
      <c r="AJ18" s="13" t="s">
        <v>134</v>
      </c>
      <c r="AK18" s="13"/>
      <c r="AL18" s="13"/>
      <c r="AM18" s="14" t="s">
        <v>96</v>
      </c>
      <c r="AN18" s="7" t="s">
        <v>458</v>
      </c>
      <c r="AO18" s="7" t="s">
        <v>459</v>
      </c>
    </row>
    <row r="19">
      <c r="A19" s="7">
        <v>18.0</v>
      </c>
      <c r="B19" s="7" t="s">
        <v>460</v>
      </c>
      <c r="C19" s="7" t="s">
        <v>146</v>
      </c>
      <c r="D19" s="8" t="s">
        <v>99</v>
      </c>
      <c r="E19" s="8" t="s">
        <v>461</v>
      </c>
      <c r="F19" s="8" t="s">
        <v>462</v>
      </c>
      <c r="G19" s="8" t="s">
        <v>463</v>
      </c>
      <c r="H19" s="8" t="s">
        <v>464</v>
      </c>
      <c r="I19" s="8" t="s">
        <v>465</v>
      </c>
      <c r="J19" s="9">
        <v>1994.0</v>
      </c>
      <c r="K19" s="9">
        <v>100.0</v>
      </c>
      <c r="L19" s="8" t="s">
        <v>216</v>
      </c>
      <c r="M19" s="8" t="s">
        <v>466</v>
      </c>
      <c r="N19" s="8" t="s">
        <v>467</v>
      </c>
      <c r="O19" s="9">
        <v>3.25E7</v>
      </c>
      <c r="P19" s="8" t="s">
        <v>108</v>
      </c>
      <c r="Q19" s="12">
        <f t="shared" si="1"/>
        <v>3250</v>
      </c>
      <c r="R19" s="7" t="str">
        <f t="shared" si="2"/>
        <v>3,000万〜</v>
      </c>
      <c r="S19" s="8" t="s">
        <v>468</v>
      </c>
      <c r="T19" s="9"/>
      <c r="U19" s="9">
        <v>24.0</v>
      </c>
      <c r="V19" s="7" t="str">
        <f t="shared" si="3"/>
        <v>13〜24ヶ月</v>
      </c>
      <c r="W19" s="8" t="s">
        <v>469</v>
      </c>
      <c r="X19" s="8" t="s">
        <v>470</v>
      </c>
      <c r="Y19" s="8" t="s">
        <v>471</v>
      </c>
      <c r="Z19" s="8" t="s">
        <v>472</v>
      </c>
      <c r="AA19" s="8" t="s">
        <v>473</v>
      </c>
      <c r="AB19" s="8" t="s">
        <v>125</v>
      </c>
      <c r="AC19" s="8" t="s">
        <v>126</v>
      </c>
      <c r="AD19" s="8"/>
      <c r="AE19" s="8" t="s">
        <v>476</v>
      </c>
      <c r="AF19" s="8" t="s">
        <v>182</v>
      </c>
      <c r="AG19" s="8" t="s">
        <v>95</v>
      </c>
      <c r="AH19" s="7" t="str">
        <f t="shared" si="4"/>
        <v/>
      </c>
      <c r="AI19" s="7"/>
      <c r="AJ19" s="13" t="s">
        <v>134</v>
      </c>
      <c r="AK19" s="13"/>
      <c r="AL19" s="13"/>
      <c r="AM19" s="14" t="s">
        <v>96</v>
      </c>
      <c r="AN19" s="7" t="s">
        <v>148</v>
      </c>
      <c r="AO19" s="7" t="s">
        <v>479</v>
      </c>
    </row>
    <row r="20">
      <c r="A20" s="7">
        <v>19.0</v>
      </c>
      <c r="B20" s="7" t="s">
        <v>481</v>
      </c>
      <c r="C20" s="7" t="s">
        <v>181</v>
      </c>
      <c r="D20" s="8" t="s">
        <v>99</v>
      </c>
      <c r="E20" s="8" t="s">
        <v>100</v>
      </c>
      <c r="F20" s="8" t="s">
        <v>483</v>
      </c>
      <c r="G20" s="8" t="s">
        <v>484</v>
      </c>
      <c r="H20" s="8" t="s">
        <v>485</v>
      </c>
      <c r="I20" s="8" t="s">
        <v>486</v>
      </c>
      <c r="J20" s="9">
        <v>1994.0</v>
      </c>
      <c r="K20" s="9">
        <v>1999.0</v>
      </c>
      <c r="L20" s="8" t="s">
        <v>216</v>
      </c>
      <c r="M20" s="8" t="s">
        <v>488</v>
      </c>
      <c r="N20" s="8" t="s">
        <v>489</v>
      </c>
      <c r="O20" s="9">
        <v>7946700.0</v>
      </c>
      <c r="P20" s="8" t="s">
        <v>108</v>
      </c>
      <c r="Q20" s="12">
        <f t="shared" si="1"/>
        <v>794.67</v>
      </c>
      <c r="R20" s="7" t="str">
        <f t="shared" si="2"/>
        <v>500〜1,000万</v>
      </c>
      <c r="S20" s="8" t="s">
        <v>491</v>
      </c>
      <c r="T20" s="9">
        <v>397000.0</v>
      </c>
      <c r="U20" s="9">
        <v>6.0</v>
      </c>
      <c r="V20" s="7" t="str">
        <f t="shared" si="3"/>
        <v>〜6ヶ月</v>
      </c>
      <c r="W20" s="8" t="s">
        <v>492</v>
      </c>
      <c r="X20" s="8" t="s">
        <v>493</v>
      </c>
      <c r="Y20" s="8" t="s">
        <v>494</v>
      </c>
      <c r="Z20" s="8" t="s">
        <v>495</v>
      </c>
      <c r="AA20" s="8" t="s">
        <v>496</v>
      </c>
      <c r="AB20" s="8" t="s">
        <v>125</v>
      </c>
      <c r="AC20" s="8" t="s">
        <v>126</v>
      </c>
      <c r="AD20" s="8"/>
      <c r="AE20" s="8" t="s">
        <v>497</v>
      </c>
      <c r="AF20" s="8" t="s">
        <v>182</v>
      </c>
      <c r="AG20" s="8" t="s">
        <v>185</v>
      </c>
      <c r="AH20" s="7" t="str">
        <f t="shared" si="4"/>
        <v/>
      </c>
      <c r="AI20" s="7"/>
      <c r="AJ20" s="13" t="s">
        <v>134</v>
      </c>
      <c r="AK20" s="13"/>
      <c r="AL20" s="13"/>
      <c r="AM20" s="14" t="s">
        <v>96</v>
      </c>
      <c r="AN20" s="7" t="s">
        <v>183</v>
      </c>
      <c r="AO20" s="7" t="s">
        <v>504</v>
      </c>
    </row>
    <row r="21" ht="15.75" customHeight="1">
      <c r="A21" s="7">
        <v>20.0</v>
      </c>
      <c r="B21" s="7" t="s">
        <v>481</v>
      </c>
      <c r="C21" s="7" t="s">
        <v>181</v>
      </c>
      <c r="D21" s="8" t="s">
        <v>231</v>
      </c>
      <c r="E21" s="8" t="s">
        <v>100</v>
      </c>
      <c r="F21" s="8" t="s">
        <v>331</v>
      </c>
      <c r="G21" s="8" t="s">
        <v>505</v>
      </c>
      <c r="H21" s="8" t="s">
        <v>419</v>
      </c>
      <c r="I21" s="8"/>
      <c r="J21" s="9"/>
      <c r="K21" s="9"/>
      <c r="L21" s="8"/>
      <c r="M21" s="8"/>
      <c r="N21" s="8"/>
      <c r="O21" s="9"/>
      <c r="P21" s="8" t="s">
        <v>131</v>
      </c>
      <c r="Q21" s="12" t="str">
        <f t="shared" si="1"/>
        <v/>
      </c>
      <c r="R21" s="7" t="str">
        <f t="shared" si="2"/>
        <v>不明</v>
      </c>
      <c r="S21" s="8"/>
      <c r="T21" s="9"/>
      <c r="U21" s="9"/>
      <c r="V21" s="7" t="str">
        <f t="shared" si="3"/>
        <v>不明</v>
      </c>
      <c r="W21" s="8"/>
      <c r="X21" s="8"/>
      <c r="Y21" s="8"/>
      <c r="Z21" s="8"/>
      <c r="AA21" s="8"/>
      <c r="AB21" s="8"/>
      <c r="AC21" s="8" t="s">
        <v>126</v>
      </c>
      <c r="AD21" s="8"/>
      <c r="AE21" s="8" t="s">
        <v>508</v>
      </c>
      <c r="AF21" s="8" t="s">
        <v>128</v>
      </c>
      <c r="AG21" s="8"/>
      <c r="AH21" s="7" t="str">
        <f t="shared" si="4"/>
        <v/>
      </c>
      <c r="AI21" s="7"/>
      <c r="AJ21" s="13" t="s">
        <v>134</v>
      </c>
      <c r="AK21" s="13"/>
      <c r="AL21" s="13"/>
      <c r="AM21" s="14" t="s">
        <v>96</v>
      </c>
      <c r="AN21" s="7" t="s">
        <v>512</v>
      </c>
      <c r="AO21" s="7" t="s">
        <v>513</v>
      </c>
    </row>
    <row r="22" ht="15.75" customHeight="1">
      <c r="A22" s="7">
        <v>21.0</v>
      </c>
      <c r="B22" s="7" t="s">
        <v>514</v>
      </c>
      <c r="C22" s="7" t="s">
        <v>204</v>
      </c>
      <c r="D22" s="8" t="s">
        <v>99</v>
      </c>
      <c r="E22" s="8" t="s">
        <v>461</v>
      </c>
      <c r="F22" s="8" t="s">
        <v>515</v>
      </c>
      <c r="G22" s="8" t="s">
        <v>516</v>
      </c>
      <c r="H22" s="8" t="s">
        <v>419</v>
      </c>
      <c r="I22" s="8" t="s">
        <v>517</v>
      </c>
      <c r="J22" s="9">
        <v>1994.0</v>
      </c>
      <c r="K22" s="9"/>
      <c r="L22" s="8" t="s">
        <v>421</v>
      </c>
      <c r="M22" s="8" t="s">
        <v>466</v>
      </c>
      <c r="N22" s="8" t="s">
        <v>518</v>
      </c>
      <c r="O22" s="9">
        <v>3800000.0</v>
      </c>
      <c r="P22" s="8" t="s">
        <v>108</v>
      </c>
      <c r="Q22" s="12">
        <f t="shared" si="1"/>
        <v>380</v>
      </c>
      <c r="R22" s="7" t="str">
        <f t="shared" si="2"/>
        <v>〜500万</v>
      </c>
      <c r="S22" s="8" t="s">
        <v>519</v>
      </c>
      <c r="T22" s="9"/>
      <c r="U22" s="9">
        <v>12.0</v>
      </c>
      <c r="V22" s="7" t="str">
        <f t="shared" si="3"/>
        <v>7〜12ヶ月</v>
      </c>
      <c r="W22" s="8" t="s">
        <v>520</v>
      </c>
      <c r="X22" s="8" t="s">
        <v>521</v>
      </c>
      <c r="Y22" s="8" t="s">
        <v>522</v>
      </c>
      <c r="Z22" s="8" t="s">
        <v>472</v>
      </c>
      <c r="AA22" s="8" t="s">
        <v>523</v>
      </c>
      <c r="AB22" s="8" t="s">
        <v>525</v>
      </c>
      <c r="AC22" s="8" t="s">
        <v>126</v>
      </c>
      <c r="AD22" s="8"/>
      <c r="AE22" s="8" t="s">
        <v>527</v>
      </c>
      <c r="AF22" s="8" t="s">
        <v>182</v>
      </c>
      <c r="AG22" s="8" t="s">
        <v>95</v>
      </c>
      <c r="AH22" s="7" t="str">
        <f t="shared" si="4"/>
        <v/>
      </c>
      <c r="AI22" s="7"/>
      <c r="AJ22" s="13" t="s">
        <v>134</v>
      </c>
      <c r="AK22" s="13"/>
      <c r="AL22" s="13"/>
      <c r="AM22" s="14" t="s">
        <v>96</v>
      </c>
      <c r="AN22" s="7" t="s">
        <v>206</v>
      </c>
      <c r="AO22" s="7" t="s">
        <v>206</v>
      </c>
    </row>
    <row r="23" ht="15.75" customHeight="1">
      <c r="A23" s="7">
        <v>22.0</v>
      </c>
      <c r="B23" s="7" t="s">
        <v>532</v>
      </c>
      <c r="C23" s="7" t="s">
        <v>227</v>
      </c>
      <c r="D23" s="8" t="s">
        <v>99</v>
      </c>
      <c r="E23" s="8" t="s">
        <v>261</v>
      </c>
      <c r="F23" s="8" t="s">
        <v>417</v>
      </c>
      <c r="G23" s="8" t="s">
        <v>533</v>
      </c>
      <c r="H23" s="8" t="s">
        <v>534</v>
      </c>
      <c r="I23" s="8" t="s">
        <v>535</v>
      </c>
      <c r="J23" s="9">
        <v>1994.0</v>
      </c>
      <c r="K23" s="9">
        <v>1999.0</v>
      </c>
      <c r="L23" s="8" t="s">
        <v>421</v>
      </c>
      <c r="M23" s="8" t="s">
        <v>538</v>
      </c>
      <c r="N23" s="8" t="s">
        <v>539</v>
      </c>
      <c r="O23" s="9">
        <v>3.225E8</v>
      </c>
      <c r="P23" s="8" t="s">
        <v>108</v>
      </c>
      <c r="Q23" s="12">
        <f t="shared" si="1"/>
        <v>32250</v>
      </c>
      <c r="R23" s="7" t="str">
        <f t="shared" si="2"/>
        <v>3,000万〜</v>
      </c>
      <c r="S23" s="8" t="s">
        <v>540</v>
      </c>
      <c r="T23" s="9"/>
      <c r="U23" s="9">
        <v>54.0</v>
      </c>
      <c r="V23" s="7" t="str">
        <f t="shared" si="3"/>
        <v>25ヶ月〜</v>
      </c>
      <c r="W23" s="8" t="s">
        <v>543</v>
      </c>
      <c r="X23" s="8" t="s">
        <v>544</v>
      </c>
      <c r="Y23" s="8" t="s">
        <v>545</v>
      </c>
      <c r="Z23" s="8" t="s">
        <v>546</v>
      </c>
      <c r="AA23" s="8" t="s">
        <v>547</v>
      </c>
      <c r="AB23" s="8" t="s">
        <v>525</v>
      </c>
      <c r="AC23" s="8" t="s">
        <v>126</v>
      </c>
      <c r="AD23" s="8"/>
      <c r="AE23" s="8" t="s">
        <v>548</v>
      </c>
      <c r="AF23" s="8" t="s">
        <v>182</v>
      </c>
      <c r="AG23" s="8" t="s">
        <v>95</v>
      </c>
      <c r="AH23" s="7" t="str">
        <f t="shared" si="4"/>
        <v/>
      </c>
      <c r="AI23" s="7"/>
      <c r="AJ23" s="13" t="s">
        <v>134</v>
      </c>
      <c r="AK23" s="13"/>
      <c r="AL23" s="13"/>
      <c r="AM23" s="14" t="s">
        <v>96</v>
      </c>
      <c r="AN23" s="7" t="s">
        <v>228</v>
      </c>
      <c r="AO23" s="7" t="s">
        <v>228</v>
      </c>
    </row>
    <row r="24" ht="15.75" customHeight="1">
      <c r="A24" s="7">
        <v>23.0</v>
      </c>
      <c r="B24" s="7" t="s">
        <v>553</v>
      </c>
      <c r="C24" s="7" t="s">
        <v>554</v>
      </c>
      <c r="D24" s="8" t="s">
        <v>99</v>
      </c>
      <c r="E24" s="8" t="s">
        <v>100</v>
      </c>
      <c r="F24" s="8" t="s">
        <v>555</v>
      </c>
      <c r="G24" s="8" t="s">
        <v>556</v>
      </c>
      <c r="H24" s="8" t="s">
        <v>557</v>
      </c>
      <c r="I24" s="8" t="s">
        <v>558</v>
      </c>
      <c r="J24" s="9">
        <v>1994.0</v>
      </c>
      <c r="K24" s="9">
        <v>1999.0</v>
      </c>
      <c r="L24" s="8" t="s">
        <v>158</v>
      </c>
      <c r="M24" s="8" t="s">
        <v>559</v>
      </c>
      <c r="N24" s="8" t="s">
        <v>560</v>
      </c>
      <c r="O24" s="9">
        <v>3260700.0</v>
      </c>
      <c r="P24" s="8" t="s">
        <v>108</v>
      </c>
      <c r="Q24" s="12">
        <f t="shared" si="1"/>
        <v>326.07</v>
      </c>
      <c r="R24" s="7" t="str">
        <f t="shared" si="2"/>
        <v>〜500万</v>
      </c>
      <c r="S24" s="8" t="s">
        <v>561</v>
      </c>
      <c r="T24" s="9"/>
      <c r="U24" s="9">
        <v>12.0</v>
      </c>
      <c r="V24" s="7" t="str">
        <f t="shared" si="3"/>
        <v>7〜12ヶ月</v>
      </c>
      <c r="W24" s="8" t="s">
        <v>562</v>
      </c>
      <c r="X24" s="8" t="s">
        <v>563</v>
      </c>
      <c r="Y24" s="8" t="s">
        <v>564</v>
      </c>
      <c r="Z24" s="8" t="s">
        <v>565</v>
      </c>
      <c r="AA24" s="8" t="s">
        <v>566</v>
      </c>
      <c r="AB24" s="8" t="s">
        <v>125</v>
      </c>
      <c r="AC24" s="8" t="s">
        <v>126</v>
      </c>
      <c r="AD24" s="8"/>
      <c r="AE24" s="8" t="s">
        <v>567</v>
      </c>
      <c r="AF24" s="8" t="s">
        <v>182</v>
      </c>
      <c r="AG24" s="8"/>
      <c r="AH24" s="7" t="str">
        <f t="shared" si="4"/>
        <v/>
      </c>
      <c r="AI24" s="7"/>
      <c r="AJ24" s="13" t="s">
        <v>134</v>
      </c>
      <c r="AK24" s="13"/>
      <c r="AL24" s="13"/>
      <c r="AM24" s="14" t="s">
        <v>96</v>
      </c>
      <c r="AN24" s="7" t="s">
        <v>148</v>
      </c>
      <c r="AO24" s="7" t="s">
        <v>572</v>
      </c>
    </row>
    <row r="25" ht="15.75" customHeight="1">
      <c r="A25" s="7">
        <v>24.0</v>
      </c>
      <c r="B25" s="7" t="s">
        <v>573</v>
      </c>
      <c r="C25" s="7" t="s">
        <v>233</v>
      </c>
      <c r="D25" s="8" t="s">
        <v>99</v>
      </c>
      <c r="E25" s="8" t="s">
        <v>261</v>
      </c>
      <c r="F25" s="8" t="s">
        <v>417</v>
      </c>
      <c r="G25" s="8" t="s">
        <v>533</v>
      </c>
      <c r="H25" s="8" t="s">
        <v>534</v>
      </c>
      <c r="I25" s="8" t="s">
        <v>576</v>
      </c>
      <c r="J25" s="9">
        <v>1994.0</v>
      </c>
      <c r="K25" s="9">
        <v>1999.0</v>
      </c>
      <c r="L25" s="8" t="s">
        <v>421</v>
      </c>
      <c r="M25" s="8" t="s">
        <v>577</v>
      </c>
      <c r="N25" s="8" t="s">
        <v>578</v>
      </c>
      <c r="O25" s="9">
        <v>3.07E8</v>
      </c>
      <c r="P25" s="8" t="s">
        <v>108</v>
      </c>
      <c r="Q25" s="12">
        <f t="shared" si="1"/>
        <v>30700</v>
      </c>
      <c r="R25" s="7" t="str">
        <f t="shared" si="2"/>
        <v>3,000万〜</v>
      </c>
      <c r="S25" s="8" t="s">
        <v>579</v>
      </c>
      <c r="T25" s="9"/>
      <c r="U25" s="9">
        <v>54.0</v>
      </c>
      <c r="V25" s="7" t="str">
        <f t="shared" si="3"/>
        <v>25ヶ月〜</v>
      </c>
      <c r="W25" s="8" t="s">
        <v>543</v>
      </c>
      <c r="X25" s="8" t="s">
        <v>544</v>
      </c>
      <c r="Y25" s="8" t="s">
        <v>582</v>
      </c>
      <c r="Z25" s="8" t="s">
        <v>583</v>
      </c>
      <c r="AA25" s="8" t="s">
        <v>584</v>
      </c>
      <c r="AB25" s="8" t="s">
        <v>525</v>
      </c>
      <c r="AC25" s="8" t="s">
        <v>126</v>
      </c>
      <c r="AD25" s="8"/>
      <c r="AE25" s="8" t="s">
        <v>585</v>
      </c>
      <c r="AF25" s="8" t="s">
        <v>182</v>
      </c>
      <c r="AG25" s="8" t="s">
        <v>95</v>
      </c>
      <c r="AH25" s="7" t="str">
        <f t="shared" si="4"/>
        <v/>
      </c>
      <c r="AI25" s="7"/>
      <c r="AJ25" s="13" t="s">
        <v>134</v>
      </c>
      <c r="AK25" s="13"/>
      <c r="AL25" s="13"/>
      <c r="AM25" s="14" t="s">
        <v>96</v>
      </c>
      <c r="AN25" s="7" t="s">
        <v>235</v>
      </c>
      <c r="AO25" s="7" t="s">
        <v>235</v>
      </c>
    </row>
    <row r="26" ht="15.75" customHeight="1">
      <c r="A26" s="7">
        <v>25.0</v>
      </c>
      <c r="B26" s="7" t="s">
        <v>588</v>
      </c>
      <c r="C26" s="7" t="s">
        <v>243</v>
      </c>
      <c r="D26" s="8" t="s">
        <v>99</v>
      </c>
      <c r="E26" s="8" t="s">
        <v>261</v>
      </c>
      <c r="F26" s="8" t="s">
        <v>589</v>
      </c>
      <c r="G26" s="8" t="s">
        <v>591</v>
      </c>
      <c r="H26" s="8" t="s">
        <v>419</v>
      </c>
      <c r="I26" s="8" t="s">
        <v>592</v>
      </c>
      <c r="J26" s="9">
        <v>1994.0</v>
      </c>
      <c r="K26" s="9">
        <v>1999.0</v>
      </c>
      <c r="L26" s="8" t="s">
        <v>216</v>
      </c>
      <c r="M26" s="8" t="s">
        <v>594</v>
      </c>
      <c r="N26" s="8" t="s">
        <v>595</v>
      </c>
      <c r="O26" s="9">
        <v>9.77E7</v>
      </c>
      <c r="P26" s="8" t="s">
        <v>108</v>
      </c>
      <c r="Q26" s="12">
        <f t="shared" si="1"/>
        <v>9770</v>
      </c>
      <c r="R26" s="7" t="str">
        <f t="shared" si="2"/>
        <v>3,000万〜</v>
      </c>
      <c r="S26" s="8" t="s">
        <v>599</v>
      </c>
      <c r="T26" s="9"/>
      <c r="U26" s="9">
        <v>55.0</v>
      </c>
      <c r="V26" s="7" t="str">
        <f t="shared" si="3"/>
        <v>25ヶ月〜</v>
      </c>
      <c r="W26" s="8" t="s">
        <v>600</v>
      </c>
      <c r="X26" s="8" t="s">
        <v>601</v>
      </c>
      <c r="Y26" s="8" t="s">
        <v>602</v>
      </c>
      <c r="Z26" s="8" t="s">
        <v>603</v>
      </c>
      <c r="AA26" s="8" t="s">
        <v>604</v>
      </c>
      <c r="AB26" s="8" t="s">
        <v>391</v>
      </c>
      <c r="AC26" s="8" t="s">
        <v>126</v>
      </c>
      <c r="AD26" s="8"/>
      <c r="AE26" s="8" t="s">
        <v>606</v>
      </c>
      <c r="AF26" s="8" t="s">
        <v>182</v>
      </c>
      <c r="AG26" s="8" t="s">
        <v>95</v>
      </c>
      <c r="AH26" s="7" t="str">
        <f t="shared" si="4"/>
        <v/>
      </c>
      <c r="AI26" s="7"/>
      <c r="AJ26" s="13" t="s">
        <v>134</v>
      </c>
      <c r="AK26" s="13"/>
      <c r="AL26" s="13"/>
      <c r="AM26" s="14" t="s">
        <v>96</v>
      </c>
      <c r="AN26" s="7" t="s">
        <v>244</v>
      </c>
      <c r="AO26" s="7" t="s">
        <v>610</v>
      </c>
    </row>
    <row r="27" ht="15.75" customHeight="1">
      <c r="A27" s="7">
        <v>26.0</v>
      </c>
      <c r="B27" s="7" t="s">
        <v>611</v>
      </c>
      <c r="C27" s="7" t="s">
        <v>255</v>
      </c>
      <c r="D27" s="8" t="s">
        <v>99</v>
      </c>
      <c r="E27" s="8" t="s">
        <v>261</v>
      </c>
      <c r="F27" s="8"/>
      <c r="G27" s="8"/>
      <c r="H27" s="8"/>
      <c r="I27" s="8"/>
      <c r="J27" s="9">
        <v>25000.0</v>
      </c>
      <c r="K27" s="9">
        <v>25000.0</v>
      </c>
      <c r="L27" s="8" t="s">
        <v>404</v>
      </c>
      <c r="M27" s="8"/>
      <c r="N27" s="8" t="s">
        <v>612</v>
      </c>
      <c r="O27" s="9"/>
      <c r="P27" s="8"/>
      <c r="Q27" s="12" t="str">
        <f t="shared" si="1"/>
        <v/>
      </c>
      <c r="R27" s="7" t="str">
        <f t="shared" si="2"/>
        <v>不明</v>
      </c>
      <c r="S27" s="8"/>
      <c r="T27" s="9"/>
      <c r="U27" s="9"/>
      <c r="V27" s="7" t="str">
        <f t="shared" si="3"/>
        <v>不明</v>
      </c>
      <c r="W27" s="8"/>
      <c r="X27" s="8"/>
      <c r="Y27" s="8"/>
      <c r="Z27" s="8"/>
      <c r="AA27" s="8"/>
      <c r="AB27" s="8"/>
      <c r="AC27" s="8" t="s">
        <v>322</v>
      </c>
      <c r="AD27" s="8" t="s">
        <v>613</v>
      </c>
      <c r="AE27" s="8" t="s">
        <v>615</v>
      </c>
      <c r="AF27" s="8" t="s">
        <v>128</v>
      </c>
      <c r="AG27" s="8"/>
      <c r="AH27" s="7" t="str">
        <f t="shared" si="4"/>
        <v>未読</v>
      </c>
      <c r="AI27" s="7"/>
      <c r="AJ27" s="13" t="s">
        <v>134</v>
      </c>
      <c r="AK27" s="13"/>
      <c r="AL27" s="13"/>
      <c r="AM27" s="14" t="s">
        <v>96</v>
      </c>
      <c r="AN27" s="7" t="s">
        <v>256</v>
      </c>
      <c r="AO27" s="7" t="s">
        <v>617</v>
      </c>
    </row>
    <row r="28" ht="15.75" customHeight="1">
      <c r="A28" s="7">
        <v>27.0</v>
      </c>
      <c r="B28" s="7" t="s">
        <v>618</v>
      </c>
      <c r="C28" s="7" t="s">
        <v>273</v>
      </c>
      <c r="D28" s="8" t="s">
        <v>99</v>
      </c>
      <c r="E28" s="8" t="s">
        <v>211</v>
      </c>
      <c r="F28" s="8" t="s">
        <v>619</v>
      </c>
      <c r="G28" s="8" t="s">
        <v>621</v>
      </c>
      <c r="H28" s="8" t="s">
        <v>622</v>
      </c>
      <c r="I28" s="8" t="s">
        <v>624</v>
      </c>
      <c r="J28" s="9">
        <v>10050.0</v>
      </c>
      <c r="K28" s="9">
        <v>10420.0</v>
      </c>
      <c r="L28" s="8" t="s">
        <v>380</v>
      </c>
      <c r="M28" s="8" t="s">
        <v>626</v>
      </c>
      <c r="N28" s="8" t="s">
        <v>627</v>
      </c>
      <c r="O28" s="9">
        <v>1.31E8</v>
      </c>
      <c r="P28" s="8" t="s">
        <v>108</v>
      </c>
      <c r="Q28" s="12">
        <f t="shared" si="1"/>
        <v>13100</v>
      </c>
      <c r="R28" s="7" t="str">
        <f t="shared" si="2"/>
        <v>3,000万〜</v>
      </c>
      <c r="S28" s="8" t="s">
        <v>628</v>
      </c>
      <c r="T28" s="9">
        <v>6543000.0</v>
      </c>
      <c r="U28" s="9">
        <v>18.0</v>
      </c>
      <c r="V28" s="7" t="str">
        <f t="shared" si="3"/>
        <v>13〜24ヶ月</v>
      </c>
      <c r="W28" s="8" t="s">
        <v>629</v>
      </c>
      <c r="X28" s="8" t="s">
        <v>630</v>
      </c>
      <c r="Y28" s="8" t="s">
        <v>631</v>
      </c>
      <c r="Z28" s="8" t="s">
        <v>632</v>
      </c>
      <c r="AA28" s="8" t="s">
        <v>633</v>
      </c>
      <c r="AB28" s="8" t="s">
        <v>391</v>
      </c>
      <c r="AC28" s="8" t="s">
        <v>126</v>
      </c>
      <c r="AD28" s="8"/>
      <c r="AE28" s="8" t="s">
        <v>634</v>
      </c>
      <c r="AF28" s="8" t="s">
        <v>182</v>
      </c>
      <c r="AG28" s="8" t="s">
        <v>95</v>
      </c>
      <c r="AH28" s="7" t="str">
        <f t="shared" si="4"/>
        <v/>
      </c>
      <c r="AI28" s="7"/>
      <c r="AJ28" s="13" t="s">
        <v>134</v>
      </c>
      <c r="AK28" s="13"/>
      <c r="AL28" s="13"/>
      <c r="AM28" s="14" t="s">
        <v>96</v>
      </c>
      <c r="AN28" s="7" t="s">
        <v>275</v>
      </c>
      <c r="AO28" s="7" t="s">
        <v>639</v>
      </c>
    </row>
    <row r="29" ht="15.75" customHeight="1">
      <c r="A29" s="7">
        <v>28.0</v>
      </c>
      <c r="B29" s="7" t="s">
        <v>640</v>
      </c>
      <c r="C29" s="7" t="s">
        <v>279</v>
      </c>
      <c r="D29" s="8" t="s">
        <v>99</v>
      </c>
      <c r="E29" s="8" t="s">
        <v>461</v>
      </c>
      <c r="F29" s="8" t="s">
        <v>641</v>
      </c>
      <c r="G29" s="8" t="s">
        <v>591</v>
      </c>
      <c r="H29" s="8" t="s">
        <v>642</v>
      </c>
      <c r="I29" s="8" t="s">
        <v>643</v>
      </c>
      <c r="J29" s="9">
        <v>1994.0</v>
      </c>
      <c r="K29" s="9">
        <v>95.0</v>
      </c>
      <c r="L29" s="8" t="s">
        <v>158</v>
      </c>
      <c r="M29" s="8" t="s">
        <v>466</v>
      </c>
      <c r="N29" s="8" t="s">
        <v>644</v>
      </c>
      <c r="O29" s="9">
        <v>2.28E7</v>
      </c>
      <c r="P29" s="8" t="s">
        <v>108</v>
      </c>
      <c r="Q29" s="12">
        <f t="shared" si="1"/>
        <v>2280</v>
      </c>
      <c r="R29" s="7" t="str">
        <f t="shared" si="2"/>
        <v>1,000〜3,000万</v>
      </c>
      <c r="S29" s="8" t="s">
        <v>647</v>
      </c>
      <c r="T29" s="9"/>
      <c r="U29" s="9">
        <v>30.0</v>
      </c>
      <c r="V29" s="7" t="str">
        <f t="shared" si="3"/>
        <v>25ヶ月〜</v>
      </c>
      <c r="W29" s="8" t="s">
        <v>648</v>
      </c>
      <c r="X29" s="8" t="s">
        <v>649</v>
      </c>
      <c r="Y29" s="8" t="s">
        <v>650</v>
      </c>
      <c r="Z29" s="8" t="s">
        <v>651</v>
      </c>
      <c r="AA29" s="8" t="s">
        <v>652</v>
      </c>
      <c r="AB29" s="8" t="s">
        <v>125</v>
      </c>
      <c r="AC29" s="8" t="s">
        <v>126</v>
      </c>
      <c r="AD29" s="8"/>
      <c r="AE29" s="8" t="s">
        <v>653</v>
      </c>
      <c r="AF29" s="8" t="s">
        <v>182</v>
      </c>
      <c r="AG29" s="8" t="s">
        <v>95</v>
      </c>
      <c r="AH29" s="7" t="str">
        <f t="shared" si="4"/>
        <v/>
      </c>
      <c r="AI29" s="7"/>
      <c r="AJ29" s="13" t="s">
        <v>134</v>
      </c>
      <c r="AK29" s="13"/>
      <c r="AL29" s="13"/>
      <c r="AM29" s="14" t="s">
        <v>96</v>
      </c>
      <c r="AN29" s="7" t="s">
        <v>280</v>
      </c>
      <c r="AO29" s="7" t="s">
        <v>656</v>
      </c>
    </row>
    <row r="30" ht="15.75" customHeight="1">
      <c r="A30" s="7">
        <v>29.0</v>
      </c>
      <c r="B30" s="7" t="s">
        <v>657</v>
      </c>
      <c r="C30" s="7" t="s">
        <v>292</v>
      </c>
      <c r="D30" s="8" t="s">
        <v>99</v>
      </c>
      <c r="E30" s="8" t="s">
        <v>261</v>
      </c>
      <c r="F30" s="8"/>
      <c r="G30" s="8"/>
      <c r="H30" s="8"/>
      <c r="I30" s="8"/>
      <c r="J30" s="9"/>
      <c r="K30" s="9"/>
      <c r="L30" s="8"/>
      <c r="M30" s="8"/>
      <c r="N30" s="8"/>
      <c r="O30" s="9"/>
      <c r="P30" s="8"/>
      <c r="Q30" s="12" t="str">
        <f t="shared" si="1"/>
        <v/>
      </c>
      <c r="R30" s="7" t="str">
        <f t="shared" si="2"/>
        <v>不明</v>
      </c>
      <c r="S30" s="8"/>
      <c r="T30" s="9"/>
      <c r="U30" s="9"/>
      <c r="V30" s="7" t="str">
        <f t="shared" si="3"/>
        <v>不明</v>
      </c>
      <c r="W30" s="8"/>
      <c r="X30" s="8"/>
      <c r="Y30" s="8"/>
      <c r="Z30" s="8"/>
      <c r="AA30" s="8"/>
      <c r="AB30" s="8"/>
      <c r="AC30" s="8" t="s">
        <v>322</v>
      </c>
      <c r="AD30" s="8" t="s">
        <v>660</v>
      </c>
      <c r="AE30" s="8" t="s">
        <v>661</v>
      </c>
      <c r="AF30" s="8" t="s">
        <v>128</v>
      </c>
      <c r="AG30" s="8"/>
      <c r="AH30" s="7" t="str">
        <f t="shared" si="4"/>
        <v>未読</v>
      </c>
      <c r="AI30" s="7"/>
      <c r="AJ30" s="13" t="s">
        <v>134</v>
      </c>
      <c r="AK30" s="13"/>
      <c r="AL30" s="13"/>
      <c r="AM30" s="14" t="s">
        <v>96</v>
      </c>
      <c r="AN30" s="7" t="s">
        <v>294</v>
      </c>
      <c r="AO30" s="7" t="s">
        <v>664</v>
      </c>
    </row>
    <row r="31" ht="15.75" customHeight="1">
      <c r="A31" s="7">
        <v>30.0</v>
      </c>
      <c r="B31" s="7" t="s">
        <v>665</v>
      </c>
      <c r="C31" s="7" t="s">
        <v>297</v>
      </c>
      <c r="D31" s="8" t="s">
        <v>99</v>
      </c>
      <c r="E31" s="8" t="s">
        <v>100</v>
      </c>
      <c r="F31" s="8" t="s">
        <v>666</v>
      </c>
      <c r="G31" s="8" t="s">
        <v>417</v>
      </c>
      <c r="H31" s="8" t="s">
        <v>419</v>
      </c>
      <c r="I31" s="8" t="s">
        <v>667</v>
      </c>
      <c r="J31" s="9">
        <v>1998.0</v>
      </c>
      <c r="K31" s="9">
        <v>1999.0</v>
      </c>
      <c r="L31" s="8" t="s">
        <v>158</v>
      </c>
      <c r="M31" s="8" t="s">
        <v>668</v>
      </c>
      <c r="N31" s="8"/>
      <c r="O31" s="9">
        <v>2.07E8</v>
      </c>
      <c r="P31" s="8" t="s">
        <v>108</v>
      </c>
      <c r="Q31" s="12">
        <f t="shared" si="1"/>
        <v>20700</v>
      </c>
      <c r="R31" s="7" t="str">
        <f t="shared" si="2"/>
        <v>3,000万〜</v>
      </c>
      <c r="S31" s="8" t="s">
        <v>669</v>
      </c>
      <c r="T31" s="9"/>
      <c r="U31" s="9"/>
      <c r="V31" s="7" t="str">
        <f t="shared" si="3"/>
        <v>不明</v>
      </c>
      <c r="W31" s="8"/>
      <c r="X31" s="8" t="s">
        <v>670</v>
      </c>
      <c r="Y31" s="8" t="s">
        <v>671</v>
      </c>
      <c r="Z31" s="8" t="s">
        <v>672</v>
      </c>
      <c r="AA31" s="8" t="s">
        <v>673</v>
      </c>
      <c r="AB31" s="8"/>
      <c r="AC31" s="8" t="s">
        <v>126</v>
      </c>
      <c r="AD31" s="8"/>
      <c r="AE31" s="8" t="s">
        <v>676</v>
      </c>
      <c r="AF31" s="8" t="s">
        <v>182</v>
      </c>
      <c r="AG31" s="8" t="s">
        <v>677</v>
      </c>
      <c r="AH31" s="7" t="str">
        <f t="shared" si="4"/>
        <v>工期なし</v>
      </c>
      <c r="AI31" s="7"/>
      <c r="AJ31" s="13" t="s">
        <v>134</v>
      </c>
      <c r="AK31" s="13"/>
      <c r="AL31" s="13"/>
      <c r="AM31" s="14" t="s">
        <v>96</v>
      </c>
      <c r="AN31" s="7" t="s">
        <v>298</v>
      </c>
      <c r="AO31" s="7" t="s">
        <v>298</v>
      </c>
    </row>
    <row r="32" ht="15.75" customHeight="1">
      <c r="A32" s="7">
        <v>31.0</v>
      </c>
      <c r="B32" s="7" t="s">
        <v>680</v>
      </c>
      <c r="C32" s="7" t="s">
        <v>305</v>
      </c>
      <c r="D32" s="8" t="s">
        <v>99</v>
      </c>
      <c r="E32" s="8" t="s">
        <v>375</v>
      </c>
      <c r="F32" s="8" t="s">
        <v>683</v>
      </c>
      <c r="G32" s="8" t="s">
        <v>684</v>
      </c>
      <c r="H32" s="8" t="s">
        <v>685</v>
      </c>
      <c r="I32" s="8" t="s">
        <v>686</v>
      </c>
      <c r="J32" s="9">
        <v>400000.0</v>
      </c>
      <c r="K32" s="9">
        <v>411100.0</v>
      </c>
      <c r="L32" s="8" t="s">
        <v>687</v>
      </c>
      <c r="M32" s="8" t="s">
        <v>688</v>
      </c>
      <c r="N32" s="8" t="s">
        <v>689</v>
      </c>
      <c r="O32" s="9">
        <v>8.145E8</v>
      </c>
      <c r="P32" s="8" t="s">
        <v>108</v>
      </c>
      <c r="Q32" s="12">
        <f t="shared" si="1"/>
        <v>81450</v>
      </c>
      <c r="R32" s="7" t="str">
        <f t="shared" si="2"/>
        <v>3,000万〜</v>
      </c>
      <c r="S32" s="8" t="s">
        <v>690</v>
      </c>
      <c r="T32" s="9"/>
      <c r="U32" s="9">
        <v>36.0</v>
      </c>
      <c r="V32" s="7" t="str">
        <f t="shared" si="3"/>
        <v>25ヶ月〜</v>
      </c>
      <c r="W32" s="8" t="s">
        <v>692</v>
      </c>
      <c r="X32" s="8" t="s">
        <v>693</v>
      </c>
      <c r="Y32" s="8" t="s">
        <v>694</v>
      </c>
      <c r="Z32" s="8" t="s">
        <v>695</v>
      </c>
      <c r="AA32" s="8" t="s">
        <v>696</v>
      </c>
      <c r="AB32" s="8" t="s">
        <v>125</v>
      </c>
      <c r="AC32" s="8" t="s">
        <v>126</v>
      </c>
      <c r="AD32" s="8"/>
      <c r="AE32" s="8" t="s">
        <v>697</v>
      </c>
      <c r="AF32" s="8" t="s">
        <v>182</v>
      </c>
      <c r="AG32" s="8" t="s">
        <v>95</v>
      </c>
      <c r="AH32" s="7" t="str">
        <f t="shared" si="4"/>
        <v/>
      </c>
      <c r="AI32" s="7"/>
      <c r="AJ32" s="13" t="s">
        <v>134</v>
      </c>
      <c r="AK32" s="13"/>
      <c r="AL32" s="13"/>
      <c r="AM32" s="14" t="s">
        <v>96</v>
      </c>
      <c r="AN32" s="7" t="s">
        <v>306</v>
      </c>
      <c r="AO32" s="7" t="s">
        <v>701</v>
      </c>
    </row>
    <row r="33" ht="15.75" customHeight="1">
      <c r="A33" s="7">
        <v>32.0</v>
      </c>
      <c r="B33" s="7" t="s">
        <v>703</v>
      </c>
      <c r="C33" s="7" t="s">
        <v>407</v>
      </c>
      <c r="D33" s="8" t="s">
        <v>231</v>
      </c>
      <c r="E33" s="8" t="s">
        <v>100</v>
      </c>
      <c r="F33" s="8"/>
      <c r="G33" s="8"/>
      <c r="H33" s="8" t="s">
        <v>705</v>
      </c>
      <c r="I33" s="8" t="s">
        <v>706</v>
      </c>
      <c r="J33" s="9"/>
      <c r="K33" s="9"/>
      <c r="L33" s="8"/>
      <c r="M33" s="8"/>
      <c r="N33" s="8"/>
      <c r="O33" s="9">
        <v>1.3337722E7</v>
      </c>
      <c r="P33" s="8" t="s">
        <v>108</v>
      </c>
      <c r="Q33" s="12">
        <f t="shared" si="1"/>
        <v>1333.7722</v>
      </c>
      <c r="R33" s="7" t="str">
        <f t="shared" si="2"/>
        <v>1,000〜3,000万</v>
      </c>
      <c r="S33" s="8" t="s">
        <v>709</v>
      </c>
      <c r="T33" s="9">
        <v>589000.0</v>
      </c>
      <c r="U33" s="9"/>
      <c r="V33" s="7" t="str">
        <f t="shared" si="3"/>
        <v>不明</v>
      </c>
      <c r="W33" s="8" t="s">
        <v>710</v>
      </c>
      <c r="X33" s="8"/>
      <c r="Y33" s="8" t="s">
        <v>711</v>
      </c>
      <c r="Z33" s="8"/>
      <c r="AA33" s="8"/>
      <c r="AB33" s="8"/>
      <c r="AC33" s="8" t="s">
        <v>293</v>
      </c>
      <c r="AD33" s="8"/>
      <c r="AE33" s="8" t="s">
        <v>712</v>
      </c>
      <c r="AF33" s="8" t="s">
        <v>128</v>
      </c>
      <c r="AG33" s="8"/>
      <c r="AH33" s="7" t="str">
        <f t="shared" si="4"/>
        <v/>
      </c>
      <c r="AI33" s="7"/>
      <c r="AJ33" s="13" t="s">
        <v>134</v>
      </c>
      <c r="AK33" s="13"/>
      <c r="AL33" s="13"/>
      <c r="AM33" s="14" t="s">
        <v>96</v>
      </c>
      <c r="AN33" s="7" t="s">
        <v>716</v>
      </c>
      <c r="AO33" s="7" t="s">
        <v>716</v>
      </c>
    </row>
    <row r="34" ht="15.75" customHeight="1">
      <c r="A34" s="7">
        <v>33.0</v>
      </c>
      <c r="B34" s="7" t="s">
        <v>703</v>
      </c>
      <c r="C34" s="7" t="s">
        <v>308</v>
      </c>
      <c r="D34" s="8" t="s">
        <v>99</v>
      </c>
      <c r="E34" s="8" t="s">
        <v>100</v>
      </c>
      <c r="F34" s="8"/>
      <c r="G34" s="8"/>
      <c r="H34" s="8"/>
      <c r="I34" s="8"/>
      <c r="J34" s="9"/>
      <c r="K34" s="9"/>
      <c r="L34" s="8"/>
      <c r="M34" s="8"/>
      <c r="N34" s="8" t="s">
        <v>717</v>
      </c>
      <c r="O34" s="9"/>
      <c r="P34" s="8"/>
      <c r="Q34" s="12" t="str">
        <f t="shared" si="1"/>
        <v/>
      </c>
      <c r="R34" s="7" t="str">
        <f t="shared" si="2"/>
        <v>不明</v>
      </c>
      <c r="S34" s="8"/>
      <c r="T34" s="9"/>
      <c r="U34" s="9"/>
      <c r="V34" s="7" t="str">
        <f t="shared" si="3"/>
        <v>不明</v>
      </c>
      <c r="W34" s="8"/>
      <c r="X34" s="8"/>
      <c r="Y34" s="8"/>
      <c r="Z34" s="8"/>
      <c r="AA34" s="8"/>
      <c r="AB34" s="8"/>
      <c r="AC34" s="8" t="s">
        <v>322</v>
      </c>
      <c r="AD34" s="8" t="s">
        <v>718</v>
      </c>
      <c r="AE34" s="8" t="s">
        <v>719</v>
      </c>
      <c r="AF34" s="8" t="s">
        <v>128</v>
      </c>
      <c r="AG34" s="8"/>
      <c r="AH34" s="7" t="str">
        <f t="shared" si="4"/>
        <v>未読</v>
      </c>
      <c r="AI34" s="7"/>
      <c r="AJ34" s="13" t="s">
        <v>134</v>
      </c>
      <c r="AK34" s="13"/>
      <c r="AL34" s="13"/>
      <c r="AM34" s="14" t="s">
        <v>96</v>
      </c>
      <c r="AN34" s="7" t="s">
        <v>309</v>
      </c>
      <c r="AO34" s="7" t="s">
        <v>309</v>
      </c>
    </row>
    <row r="35" ht="15.75" customHeight="1">
      <c r="A35" s="7">
        <v>34.0</v>
      </c>
      <c r="B35" s="7" t="s">
        <v>703</v>
      </c>
      <c r="C35" s="7" t="s">
        <v>308</v>
      </c>
      <c r="D35" s="8" t="s">
        <v>231</v>
      </c>
      <c r="E35" s="8" t="s">
        <v>100</v>
      </c>
      <c r="F35" s="8" t="s">
        <v>724</v>
      </c>
      <c r="G35" s="8"/>
      <c r="H35" s="8" t="s">
        <v>705</v>
      </c>
      <c r="I35" s="8" t="s">
        <v>725</v>
      </c>
      <c r="J35" s="9"/>
      <c r="K35" s="9"/>
      <c r="L35" s="8"/>
      <c r="M35" s="8"/>
      <c r="N35" s="8"/>
      <c r="O35" s="9"/>
      <c r="P35" s="8"/>
      <c r="Q35" s="12" t="str">
        <f t="shared" si="1"/>
        <v/>
      </c>
      <c r="R35" s="7" t="str">
        <f t="shared" si="2"/>
        <v>不明</v>
      </c>
      <c r="S35" s="8"/>
      <c r="T35" s="9"/>
      <c r="U35" s="9"/>
      <c r="V35" s="7" t="str">
        <f t="shared" si="3"/>
        <v>不明</v>
      </c>
      <c r="W35" s="8"/>
      <c r="X35" s="8"/>
      <c r="Y35" s="8"/>
      <c r="Z35" s="8"/>
      <c r="AA35" s="8"/>
      <c r="AB35" s="8"/>
      <c r="AC35" s="8" t="s">
        <v>126</v>
      </c>
      <c r="AD35" s="8"/>
      <c r="AE35" s="8" t="s">
        <v>728</v>
      </c>
      <c r="AF35" s="8" t="s">
        <v>128</v>
      </c>
      <c r="AG35" s="8"/>
      <c r="AH35" s="7" t="str">
        <f t="shared" si="4"/>
        <v/>
      </c>
      <c r="AI35" s="7"/>
      <c r="AJ35" s="13" t="s">
        <v>134</v>
      </c>
      <c r="AK35" s="13"/>
      <c r="AL35" s="13"/>
      <c r="AM35" s="14" t="s">
        <v>96</v>
      </c>
      <c r="AN35" s="7" t="s">
        <v>730</v>
      </c>
      <c r="AO35" s="7" t="s">
        <v>730</v>
      </c>
    </row>
    <row r="36" ht="15.75" customHeight="1">
      <c r="A36" s="7">
        <v>35.0</v>
      </c>
      <c r="B36" s="7" t="s">
        <v>703</v>
      </c>
      <c r="C36" s="7" t="s">
        <v>308</v>
      </c>
      <c r="D36" s="8" t="s">
        <v>154</v>
      </c>
      <c r="E36" s="8" t="s">
        <v>100</v>
      </c>
      <c r="F36" s="8" t="s">
        <v>732</v>
      </c>
      <c r="G36" s="8" t="s">
        <v>733</v>
      </c>
      <c r="H36" s="8" t="s">
        <v>705</v>
      </c>
      <c r="I36" s="8" t="s">
        <v>735</v>
      </c>
      <c r="J36" s="9">
        <v>1997.0</v>
      </c>
      <c r="K36" s="9">
        <v>1999.0</v>
      </c>
      <c r="L36" s="8" t="s">
        <v>216</v>
      </c>
      <c r="M36" s="8" t="s">
        <v>737</v>
      </c>
      <c r="N36" s="8" t="s">
        <v>738</v>
      </c>
      <c r="O36" s="9">
        <v>1.3337722E7</v>
      </c>
      <c r="P36" s="8" t="s">
        <v>108</v>
      </c>
      <c r="Q36" s="12">
        <f t="shared" si="1"/>
        <v>1333.7722</v>
      </c>
      <c r="R36" s="7" t="str">
        <f t="shared" si="2"/>
        <v>1,000〜3,000万</v>
      </c>
      <c r="S36" s="8" t="s">
        <v>739</v>
      </c>
      <c r="T36" s="9">
        <v>589000.0</v>
      </c>
      <c r="U36" s="9">
        <v>29.0</v>
      </c>
      <c r="V36" s="7" t="str">
        <f t="shared" si="3"/>
        <v>25ヶ月〜</v>
      </c>
      <c r="W36" s="8" t="s">
        <v>740</v>
      </c>
      <c r="X36" s="8"/>
      <c r="Y36" s="8" t="s">
        <v>741</v>
      </c>
      <c r="Z36" s="8" t="s">
        <v>742</v>
      </c>
      <c r="AA36" s="8" t="s">
        <v>743</v>
      </c>
      <c r="AB36" s="8" t="s">
        <v>744</v>
      </c>
      <c r="AC36" s="8" t="s">
        <v>126</v>
      </c>
      <c r="AD36" s="8"/>
      <c r="AE36" s="8" t="s">
        <v>745</v>
      </c>
      <c r="AF36" s="8" t="s">
        <v>182</v>
      </c>
      <c r="AG36" s="8"/>
      <c r="AH36" s="7" t="str">
        <f t="shared" si="4"/>
        <v/>
      </c>
      <c r="AI36" s="7"/>
      <c r="AJ36" s="13" t="s">
        <v>134</v>
      </c>
      <c r="AK36" s="13"/>
      <c r="AL36" s="13"/>
      <c r="AM36" s="14" t="s">
        <v>96</v>
      </c>
      <c r="AN36" s="7" t="s">
        <v>750</v>
      </c>
      <c r="AO36" s="7" t="s">
        <v>750</v>
      </c>
    </row>
    <row r="37" ht="15.75" customHeight="1">
      <c r="A37" s="7">
        <v>36.0</v>
      </c>
      <c r="B37" s="7" t="s">
        <v>703</v>
      </c>
      <c r="C37" s="7" t="s">
        <v>308</v>
      </c>
      <c r="D37" s="8" t="s">
        <v>231</v>
      </c>
      <c r="E37" s="8" t="s">
        <v>100</v>
      </c>
      <c r="F37" s="8" t="s">
        <v>753</v>
      </c>
      <c r="G37" s="8"/>
      <c r="H37" s="8" t="s">
        <v>419</v>
      </c>
      <c r="I37" s="8" t="s">
        <v>754</v>
      </c>
      <c r="J37" s="9"/>
      <c r="K37" s="9"/>
      <c r="L37" s="8"/>
      <c r="M37" s="8"/>
      <c r="N37" s="8"/>
      <c r="O37" s="9"/>
      <c r="P37" s="8"/>
      <c r="Q37" s="12" t="str">
        <f t="shared" si="1"/>
        <v/>
      </c>
      <c r="R37" s="7" t="str">
        <f t="shared" si="2"/>
        <v>不明</v>
      </c>
      <c r="S37" s="8"/>
      <c r="T37" s="9"/>
      <c r="U37" s="9"/>
      <c r="V37" s="7" t="str">
        <f t="shared" si="3"/>
        <v>不明</v>
      </c>
      <c r="W37" s="8"/>
      <c r="X37" s="8"/>
      <c r="Y37" s="8"/>
      <c r="Z37" s="8"/>
      <c r="AA37" s="8"/>
      <c r="AB37" s="8"/>
      <c r="AC37" s="8" t="s">
        <v>126</v>
      </c>
      <c r="AD37" s="8"/>
      <c r="AE37" s="8" t="s">
        <v>757</v>
      </c>
      <c r="AF37" s="8" t="s">
        <v>128</v>
      </c>
      <c r="AG37" s="8"/>
      <c r="AH37" s="7" t="str">
        <f t="shared" si="4"/>
        <v/>
      </c>
      <c r="AI37" s="7"/>
      <c r="AJ37" s="13" t="s">
        <v>134</v>
      </c>
      <c r="AK37" s="13"/>
      <c r="AL37" s="13"/>
      <c r="AM37" s="14" t="s">
        <v>96</v>
      </c>
      <c r="AN37" s="7" t="s">
        <v>760</v>
      </c>
      <c r="AO37" s="7" t="s">
        <v>760</v>
      </c>
    </row>
    <row r="38" ht="15.75" customHeight="1">
      <c r="A38" s="7">
        <v>37.0</v>
      </c>
      <c r="B38" s="7" t="s">
        <v>762</v>
      </c>
      <c r="C38" s="7" t="s">
        <v>314</v>
      </c>
      <c r="D38" s="8" t="s">
        <v>231</v>
      </c>
      <c r="E38" s="8" t="s">
        <v>211</v>
      </c>
      <c r="F38" s="8" t="s">
        <v>765</v>
      </c>
      <c r="G38" s="8"/>
      <c r="H38" s="8" t="s">
        <v>767</v>
      </c>
      <c r="I38" s="8"/>
      <c r="J38" s="9"/>
      <c r="K38" s="9"/>
      <c r="L38" s="8"/>
      <c r="M38" s="8"/>
      <c r="N38" s="8"/>
      <c r="O38" s="9">
        <v>1.43E8</v>
      </c>
      <c r="P38" s="8" t="s">
        <v>108</v>
      </c>
      <c r="Q38" s="12">
        <f t="shared" si="1"/>
        <v>14300</v>
      </c>
      <c r="R38" s="7" t="str">
        <f t="shared" si="2"/>
        <v>3,000万〜</v>
      </c>
      <c r="S38" s="8" t="s">
        <v>768</v>
      </c>
      <c r="T38" s="9"/>
      <c r="U38" s="9">
        <v>27.0</v>
      </c>
      <c r="V38" s="7" t="str">
        <f t="shared" si="3"/>
        <v>25ヶ月〜</v>
      </c>
      <c r="W38" s="8" t="s">
        <v>771</v>
      </c>
      <c r="X38" s="8" t="s">
        <v>773</v>
      </c>
      <c r="Y38" s="8" t="s">
        <v>774</v>
      </c>
      <c r="Z38" s="8" t="s">
        <v>775</v>
      </c>
      <c r="AA38" s="8" t="s">
        <v>776</v>
      </c>
      <c r="AB38" s="8"/>
      <c r="AC38" s="8" t="s">
        <v>126</v>
      </c>
      <c r="AD38" s="8"/>
      <c r="AE38" s="8" t="s">
        <v>778</v>
      </c>
      <c r="AF38" s="8" t="s">
        <v>128</v>
      </c>
      <c r="AG38" s="8" t="s">
        <v>185</v>
      </c>
      <c r="AH38" s="7" t="str">
        <f t="shared" si="4"/>
        <v/>
      </c>
      <c r="AI38" s="7"/>
      <c r="AJ38" s="13" t="s">
        <v>134</v>
      </c>
      <c r="AK38" s="13"/>
      <c r="AL38" s="13"/>
      <c r="AM38" s="14" t="s">
        <v>96</v>
      </c>
      <c r="AN38" s="7" t="s">
        <v>315</v>
      </c>
      <c r="AO38" s="7" t="s">
        <v>315</v>
      </c>
    </row>
    <row r="39" ht="15.75" customHeight="1">
      <c r="A39" s="7">
        <v>38.0</v>
      </c>
      <c r="B39" s="7" t="s">
        <v>780</v>
      </c>
      <c r="C39" s="7" t="s">
        <v>324</v>
      </c>
      <c r="D39" s="8" t="s">
        <v>99</v>
      </c>
      <c r="E39" s="8" t="s">
        <v>461</v>
      </c>
      <c r="F39" s="8" t="s">
        <v>783</v>
      </c>
      <c r="G39" s="8" t="s">
        <v>784</v>
      </c>
      <c r="H39" s="8" t="s">
        <v>785</v>
      </c>
      <c r="I39" s="8" t="s">
        <v>786</v>
      </c>
      <c r="J39" s="9">
        <v>1994.0</v>
      </c>
      <c r="K39" s="9">
        <v>1999.0</v>
      </c>
      <c r="L39" s="8" t="s">
        <v>216</v>
      </c>
      <c r="M39" s="8" t="s">
        <v>789</v>
      </c>
      <c r="N39" s="8" t="s">
        <v>790</v>
      </c>
      <c r="O39" s="9">
        <v>6382300.0</v>
      </c>
      <c r="P39" s="8" t="s">
        <v>108</v>
      </c>
      <c r="Q39" s="12">
        <f t="shared" si="1"/>
        <v>638.23</v>
      </c>
      <c r="R39" s="7" t="str">
        <f t="shared" si="2"/>
        <v>500〜1,000万</v>
      </c>
      <c r="S39" s="8" t="s">
        <v>791</v>
      </c>
      <c r="T39" s="9"/>
      <c r="U39" s="9">
        <v>3.0</v>
      </c>
      <c r="V39" s="7" t="str">
        <f t="shared" si="3"/>
        <v>〜6ヶ月</v>
      </c>
      <c r="W39" s="8" t="s">
        <v>792</v>
      </c>
      <c r="X39" s="8" t="s">
        <v>793</v>
      </c>
      <c r="Y39" s="8" t="s">
        <v>794</v>
      </c>
      <c r="Z39" s="8" t="s">
        <v>795</v>
      </c>
      <c r="AA39" s="8" t="s">
        <v>796</v>
      </c>
      <c r="AB39" s="8" t="s">
        <v>391</v>
      </c>
      <c r="AC39" s="8" t="s">
        <v>293</v>
      </c>
      <c r="AD39" s="8"/>
      <c r="AE39" s="8" t="s">
        <v>797</v>
      </c>
      <c r="AF39" s="8" t="s">
        <v>182</v>
      </c>
      <c r="AG39" s="8" t="s">
        <v>185</v>
      </c>
      <c r="AH39" s="7" t="str">
        <f t="shared" si="4"/>
        <v/>
      </c>
      <c r="AI39" s="7"/>
      <c r="AJ39" s="13" t="s">
        <v>134</v>
      </c>
      <c r="AK39" s="13"/>
      <c r="AL39" s="13"/>
      <c r="AM39" s="14" t="s">
        <v>96</v>
      </c>
      <c r="AN39" s="7" t="s">
        <v>327</v>
      </c>
      <c r="AO39" s="7" t="s">
        <v>327</v>
      </c>
    </row>
    <row r="40" ht="15.75" customHeight="1">
      <c r="A40" s="7">
        <v>39.0</v>
      </c>
      <c r="B40" s="7"/>
      <c r="C40" s="7" t="s">
        <v>330</v>
      </c>
      <c r="D40" s="8" t="s">
        <v>99</v>
      </c>
      <c r="E40" s="8" t="s">
        <v>362</v>
      </c>
      <c r="F40" s="8"/>
      <c r="G40" s="8"/>
      <c r="H40" s="8"/>
      <c r="I40" s="8"/>
      <c r="J40" s="9"/>
      <c r="K40" s="9"/>
      <c r="L40" s="8"/>
      <c r="M40" s="8"/>
      <c r="N40" s="8"/>
      <c r="O40" s="9"/>
      <c r="P40" s="8"/>
      <c r="Q40" s="12" t="str">
        <f t="shared" si="1"/>
        <v/>
      </c>
      <c r="R40" s="7" t="str">
        <f t="shared" si="2"/>
        <v>不明</v>
      </c>
      <c r="S40" s="8"/>
      <c r="T40" s="9"/>
      <c r="U40" s="9"/>
      <c r="V40" s="7" t="str">
        <f t="shared" si="3"/>
        <v>不明</v>
      </c>
      <c r="W40" s="8"/>
      <c r="X40" s="8"/>
      <c r="Y40" s="8"/>
      <c r="Z40" s="8"/>
      <c r="AA40" s="8"/>
      <c r="AB40" s="8"/>
      <c r="AC40" s="8" t="s">
        <v>322</v>
      </c>
      <c r="AD40" s="8" t="s">
        <v>805</v>
      </c>
      <c r="AE40" s="8" t="s">
        <v>806</v>
      </c>
      <c r="AF40" s="8" t="s">
        <v>128</v>
      </c>
      <c r="AG40" s="8"/>
      <c r="AH40" s="7" t="str">
        <f t="shared" si="4"/>
        <v>未読</v>
      </c>
      <c r="AI40" s="7"/>
      <c r="AJ40" s="13" t="s">
        <v>134</v>
      </c>
      <c r="AK40" s="13"/>
      <c r="AL40" s="13"/>
      <c r="AM40" s="14" t="s">
        <v>96</v>
      </c>
      <c r="AN40" s="7" t="s">
        <v>332</v>
      </c>
      <c r="AO40" s="7" t="s">
        <v>332</v>
      </c>
    </row>
    <row r="41" ht="15.75" customHeight="1">
      <c r="A41" s="7">
        <v>40.0</v>
      </c>
      <c r="B41" s="7"/>
      <c r="C41" s="7" t="s">
        <v>347</v>
      </c>
      <c r="D41" s="8" t="s">
        <v>154</v>
      </c>
      <c r="E41" s="8" t="s">
        <v>362</v>
      </c>
      <c r="F41" s="8" t="s">
        <v>263</v>
      </c>
      <c r="G41" s="8" t="s">
        <v>811</v>
      </c>
      <c r="H41" s="8" t="s">
        <v>812</v>
      </c>
      <c r="I41" s="8" t="s">
        <v>813</v>
      </c>
      <c r="J41" s="9">
        <v>67668.0</v>
      </c>
      <c r="K41" s="9">
        <v>71861.0</v>
      </c>
      <c r="L41" s="8" t="s">
        <v>404</v>
      </c>
      <c r="M41" s="8" t="s">
        <v>814</v>
      </c>
      <c r="N41" s="8" t="s">
        <v>815</v>
      </c>
      <c r="O41" s="9">
        <v>3.114E8</v>
      </c>
      <c r="P41" s="8" t="s">
        <v>108</v>
      </c>
      <c r="Q41" s="12">
        <f t="shared" si="1"/>
        <v>31140</v>
      </c>
      <c r="R41" s="7" t="str">
        <f t="shared" si="2"/>
        <v>3,000万〜</v>
      </c>
      <c r="S41" s="8" t="s">
        <v>816</v>
      </c>
      <c r="T41" s="9">
        <v>1.5725E7</v>
      </c>
      <c r="U41" s="9">
        <v>32.0</v>
      </c>
      <c r="V41" s="7" t="str">
        <f t="shared" si="3"/>
        <v>25ヶ月〜</v>
      </c>
      <c r="W41" s="8" t="s">
        <v>818</v>
      </c>
      <c r="X41" s="8" t="s">
        <v>819</v>
      </c>
      <c r="Y41" s="8" t="s">
        <v>820</v>
      </c>
      <c r="Z41" s="8" t="s">
        <v>821</v>
      </c>
      <c r="AA41" s="8" t="s">
        <v>822</v>
      </c>
      <c r="AB41" s="8" t="s">
        <v>824</v>
      </c>
      <c r="AC41" s="8" t="s">
        <v>126</v>
      </c>
      <c r="AD41" s="8"/>
      <c r="AE41" s="8" t="s">
        <v>826</v>
      </c>
      <c r="AF41" s="8" t="s">
        <v>182</v>
      </c>
      <c r="AG41" s="8"/>
      <c r="AH41" s="7" t="str">
        <f t="shared" si="4"/>
        <v/>
      </c>
      <c r="AI41" s="7"/>
      <c r="AJ41" s="13" t="s">
        <v>134</v>
      </c>
      <c r="AK41" s="13"/>
      <c r="AL41" s="13"/>
      <c r="AM41" s="14" t="s">
        <v>96</v>
      </c>
      <c r="AN41" s="7" t="s">
        <v>828</v>
      </c>
      <c r="AO41" s="7" t="s">
        <v>828</v>
      </c>
    </row>
    <row r="42" ht="15.75" customHeight="1">
      <c r="A42" s="7">
        <v>41.0</v>
      </c>
      <c r="B42" s="7"/>
      <c r="C42" s="7" t="s">
        <v>347</v>
      </c>
      <c r="D42" s="8" t="s">
        <v>154</v>
      </c>
      <c r="E42" s="8" t="s">
        <v>362</v>
      </c>
      <c r="F42" s="8" t="s">
        <v>263</v>
      </c>
      <c r="G42" s="8" t="s">
        <v>811</v>
      </c>
      <c r="H42" s="8" t="s">
        <v>812</v>
      </c>
      <c r="I42" s="8" t="s">
        <v>832</v>
      </c>
      <c r="J42" s="9">
        <v>67668.0</v>
      </c>
      <c r="K42" s="9">
        <v>71861.0</v>
      </c>
      <c r="L42" s="8" t="s">
        <v>404</v>
      </c>
      <c r="M42" s="8" t="s">
        <v>814</v>
      </c>
      <c r="N42" s="8" t="s">
        <v>833</v>
      </c>
      <c r="O42" s="9">
        <v>1.861E8</v>
      </c>
      <c r="P42" s="8" t="s">
        <v>108</v>
      </c>
      <c r="Q42" s="12">
        <f t="shared" si="1"/>
        <v>18610</v>
      </c>
      <c r="R42" s="7" t="str">
        <f t="shared" si="2"/>
        <v>3,000万〜</v>
      </c>
      <c r="S42" s="8" t="s">
        <v>834</v>
      </c>
      <c r="T42" s="9">
        <v>9560000.0</v>
      </c>
      <c r="U42" s="9">
        <v>32.0</v>
      </c>
      <c r="V42" s="7" t="str">
        <f t="shared" si="3"/>
        <v>25ヶ月〜</v>
      </c>
      <c r="W42" s="8" t="s">
        <v>818</v>
      </c>
      <c r="X42" s="8" t="s">
        <v>819</v>
      </c>
      <c r="Y42" s="8" t="s">
        <v>836</v>
      </c>
      <c r="Z42" s="8" t="s">
        <v>821</v>
      </c>
      <c r="AA42" s="8" t="s">
        <v>822</v>
      </c>
      <c r="AB42" s="8" t="s">
        <v>824</v>
      </c>
      <c r="AC42" s="8" t="s">
        <v>126</v>
      </c>
      <c r="AD42" s="8"/>
      <c r="AE42" s="8" t="s">
        <v>837</v>
      </c>
      <c r="AF42" s="8" t="s">
        <v>182</v>
      </c>
      <c r="AG42" s="8"/>
      <c r="AH42" s="7" t="str">
        <f t="shared" si="4"/>
        <v/>
      </c>
      <c r="AI42" s="7"/>
      <c r="AJ42" s="13" t="s">
        <v>134</v>
      </c>
      <c r="AK42" s="13"/>
      <c r="AL42" s="13"/>
      <c r="AM42" s="14" t="s">
        <v>96</v>
      </c>
      <c r="AN42" s="7" t="s">
        <v>841</v>
      </c>
      <c r="AO42" s="7" t="s">
        <v>841</v>
      </c>
    </row>
    <row r="43" ht="15.75" customHeight="1">
      <c r="A43" s="7">
        <v>42.0</v>
      </c>
      <c r="B43" s="7"/>
      <c r="C43" s="7" t="s">
        <v>347</v>
      </c>
      <c r="D43" s="8" t="s">
        <v>154</v>
      </c>
      <c r="E43" s="8" t="s">
        <v>362</v>
      </c>
      <c r="F43" s="8" t="s">
        <v>263</v>
      </c>
      <c r="G43" s="8" t="s">
        <v>811</v>
      </c>
      <c r="H43" s="8" t="s">
        <v>812</v>
      </c>
      <c r="I43" s="8" t="s">
        <v>842</v>
      </c>
      <c r="J43" s="9">
        <v>67668.0</v>
      </c>
      <c r="K43" s="9">
        <v>71861.0</v>
      </c>
      <c r="L43" s="8" t="s">
        <v>404</v>
      </c>
      <c r="M43" s="8" t="s">
        <v>814</v>
      </c>
      <c r="N43" s="8" t="s">
        <v>845</v>
      </c>
      <c r="O43" s="9">
        <v>1.829E8</v>
      </c>
      <c r="P43" s="8" t="s">
        <v>108</v>
      </c>
      <c r="Q43" s="12">
        <f t="shared" si="1"/>
        <v>18290</v>
      </c>
      <c r="R43" s="7" t="str">
        <f t="shared" si="2"/>
        <v>3,000万〜</v>
      </c>
      <c r="S43" s="8" t="s">
        <v>848</v>
      </c>
      <c r="T43" s="9">
        <v>9190000.0</v>
      </c>
      <c r="U43" s="9">
        <v>32.0</v>
      </c>
      <c r="V43" s="7" t="str">
        <f t="shared" si="3"/>
        <v>25ヶ月〜</v>
      </c>
      <c r="W43" s="8" t="s">
        <v>818</v>
      </c>
      <c r="X43" s="8" t="s">
        <v>819</v>
      </c>
      <c r="Y43" s="8" t="s">
        <v>849</v>
      </c>
      <c r="Z43" s="8" t="s">
        <v>850</v>
      </c>
      <c r="AA43" s="8" t="s">
        <v>822</v>
      </c>
      <c r="AB43" s="8" t="s">
        <v>824</v>
      </c>
      <c r="AC43" s="8" t="s">
        <v>126</v>
      </c>
      <c r="AD43" s="8"/>
      <c r="AE43" s="8" t="s">
        <v>851</v>
      </c>
      <c r="AF43" s="8" t="s">
        <v>182</v>
      </c>
      <c r="AG43" s="8"/>
      <c r="AH43" s="7" t="str">
        <f t="shared" si="4"/>
        <v/>
      </c>
      <c r="AI43" s="7"/>
      <c r="AJ43" s="13" t="s">
        <v>134</v>
      </c>
      <c r="AK43" s="13"/>
      <c r="AL43" s="13"/>
      <c r="AM43" s="14" t="s">
        <v>96</v>
      </c>
      <c r="AN43" s="7" t="s">
        <v>855</v>
      </c>
      <c r="AO43" s="7" t="s">
        <v>855</v>
      </c>
    </row>
    <row r="44" ht="15.75" customHeight="1">
      <c r="A44" s="7">
        <v>43.0</v>
      </c>
      <c r="B44" s="7"/>
      <c r="C44" s="7" t="s">
        <v>347</v>
      </c>
      <c r="D44" s="8" t="s">
        <v>154</v>
      </c>
      <c r="E44" s="8" t="s">
        <v>362</v>
      </c>
      <c r="F44" s="8" t="s">
        <v>857</v>
      </c>
      <c r="G44" s="8" t="s">
        <v>811</v>
      </c>
      <c r="H44" s="8" t="s">
        <v>812</v>
      </c>
      <c r="I44" s="8" t="s">
        <v>813</v>
      </c>
      <c r="J44" s="9">
        <v>67668.0</v>
      </c>
      <c r="K44" s="9"/>
      <c r="L44" s="8" t="s">
        <v>404</v>
      </c>
      <c r="M44" s="8" t="s">
        <v>858</v>
      </c>
      <c r="N44" s="8"/>
      <c r="O44" s="9"/>
      <c r="P44" s="8" t="s">
        <v>131</v>
      </c>
      <c r="Q44" s="12" t="str">
        <f t="shared" si="1"/>
        <v/>
      </c>
      <c r="R44" s="7" t="str">
        <f t="shared" si="2"/>
        <v>不明</v>
      </c>
      <c r="S44" s="8" t="s">
        <v>859</v>
      </c>
      <c r="T44" s="9">
        <v>1.5725E7</v>
      </c>
      <c r="U44" s="9"/>
      <c r="V44" s="7" t="str">
        <f t="shared" si="3"/>
        <v>不明</v>
      </c>
      <c r="W44" s="8"/>
      <c r="X44" s="8"/>
      <c r="Y44" s="8"/>
      <c r="Z44" s="8"/>
      <c r="AA44" s="8" t="s">
        <v>860</v>
      </c>
      <c r="AB44" s="8"/>
      <c r="AC44" s="8" t="s">
        <v>126</v>
      </c>
      <c r="AD44" s="8"/>
      <c r="AE44" s="8" t="s">
        <v>863</v>
      </c>
      <c r="AF44" s="8" t="s">
        <v>128</v>
      </c>
      <c r="AG44" s="8"/>
      <c r="AH44" s="7" t="str">
        <f t="shared" si="4"/>
        <v>負担金なし 工期なし</v>
      </c>
      <c r="AI44" s="7"/>
      <c r="AJ44" s="13" t="s">
        <v>134</v>
      </c>
      <c r="AK44" s="13"/>
      <c r="AL44" s="13"/>
      <c r="AM44" s="14" t="s">
        <v>96</v>
      </c>
      <c r="AN44" s="7" t="s">
        <v>348</v>
      </c>
      <c r="AO44" s="7" t="s">
        <v>866</v>
      </c>
    </row>
    <row r="45" ht="15.75" customHeight="1">
      <c r="A45" s="7">
        <v>44.0</v>
      </c>
      <c r="B45" s="7"/>
      <c r="C45" s="7" t="s">
        <v>347</v>
      </c>
      <c r="D45" s="8" t="s">
        <v>154</v>
      </c>
      <c r="E45" s="8" t="s">
        <v>362</v>
      </c>
      <c r="F45" s="8" t="s">
        <v>857</v>
      </c>
      <c r="G45" s="8" t="s">
        <v>811</v>
      </c>
      <c r="H45" s="8" t="s">
        <v>812</v>
      </c>
      <c r="I45" s="8" t="s">
        <v>832</v>
      </c>
      <c r="J45" s="9">
        <v>67668.0</v>
      </c>
      <c r="K45" s="9"/>
      <c r="L45" s="8" t="s">
        <v>404</v>
      </c>
      <c r="M45" s="8" t="s">
        <v>858</v>
      </c>
      <c r="N45" s="8"/>
      <c r="O45" s="9"/>
      <c r="P45" s="8" t="s">
        <v>131</v>
      </c>
      <c r="Q45" s="12" t="str">
        <f t="shared" si="1"/>
        <v/>
      </c>
      <c r="R45" s="7" t="str">
        <f t="shared" si="2"/>
        <v>不明</v>
      </c>
      <c r="S45" s="8" t="s">
        <v>868</v>
      </c>
      <c r="T45" s="9">
        <v>9560000.0</v>
      </c>
      <c r="U45" s="9"/>
      <c r="V45" s="7" t="str">
        <f t="shared" si="3"/>
        <v>不明</v>
      </c>
      <c r="W45" s="8"/>
      <c r="X45" s="8"/>
      <c r="Y45" s="8"/>
      <c r="Z45" s="8"/>
      <c r="AA45" s="8" t="s">
        <v>860</v>
      </c>
      <c r="AB45" s="8"/>
      <c r="AC45" s="8" t="s">
        <v>126</v>
      </c>
      <c r="AD45" s="8"/>
      <c r="AE45" s="8" t="s">
        <v>869</v>
      </c>
      <c r="AF45" s="8" t="s">
        <v>128</v>
      </c>
      <c r="AG45" s="8"/>
      <c r="AH45" s="7" t="str">
        <f t="shared" si="4"/>
        <v>負担金なし 工期なし</v>
      </c>
      <c r="AI45" s="7"/>
      <c r="AJ45" s="13" t="s">
        <v>134</v>
      </c>
      <c r="AK45" s="13"/>
      <c r="AL45" s="13"/>
      <c r="AM45" s="14" t="s">
        <v>96</v>
      </c>
      <c r="AN45" s="7" t="s">
        <v>350</v>
      </c>
      <c r="AO45" s="7" t="s">
        <v>874</v>
      </c>
    </row>
    <row r="46" ht="15.75" customHeight="1">
      <c r="A46" s="7">
        <v>45.0</v>
      </c>
      <c r="B46" s="7"/>
      <c r="C46" s="7" t="s">
        <v>347</v>
      </c>
      <c r="D46" s="8" t="s">
        <v>154</v>
      </c>
      <c r="E46" s="8" t="s">
        <v>362</v>
      </c>
      <c r="F46" s="8" t="s">
        <v>857</v>
      </c>
      <c r="G46" s="8" t="s">
        <v>811</v>
      </c>
      <c r="H46" s="8" t="s">
        <v>812</v>
      </c>
      <c r="I46" s="8" t="s">
        <v>842</v>
      </c>
      <c r="J46" s="9">
        <v>67668.0</v>
      </c>
      <c r="K46" s="9"/>
      <c r="L46" s="8" t="s">
        <v>404</v>
      </c>
      <c r="M46" s="8" t="s">
        <v>858</v>
      </c>
      <c r="N46" s="8"/>
      <c r="O46" s="9"/>
      <c r="P46" s="8" t="s">
        <v>131</v>
      </c>
      <c r="Q46" s="12" t="str">
        <f t="shared" si="1"/>
        <v/>
      </c>
      <c r="R46" s="7" t="str">
        <f t="shared" si="2"/>
        <v>不明</v>
      </c>
      <c r="S46" s="8" t="s">
        <v>875</v>
      </c>
      <c r="T46" s="9">
        <v>9190000.0</v>
      </c>
      <c r="U46" s="9"/>
      <c r="V46" s="7" t="str">
        <f t="shared" si="3"/>
        <v>不明</v>
      </c>
      <c r="W46" s="8"/>
      <c r="X46" s="8"/>
      <c r="Y46" s="8"/>
      <c r="Z46" s="8"/>
      <c r="AA46" s="8" t="s">
        <v>860</v>
      </c>
      <c r="AB46" s="8"/>
      <c r="AC46" s="8" t="s">
        <v>126</v>
      </c>
      <c r="AD46" s="8"/>
      <c r="AE46" s="8" t="s">
        <v>879</v>
      </c>
      <c r="AF46" s="8" t="s">
        <v>128</v>
      </c>
      <c r="AG46" s="8"/>
      <c r="AH46" s="7" t="str">
        <f t="shared" si="4"/>
        <v>負担金なし 工期なし</v>
      </c>
      <c r="AI46" s="7"/>
      <c r="AJ46" s="13" t="s">
        <v>134</v>
      </c>
      <c r="AK46" s="13"/>
      <c r="AL46" s="13"/>
      <c r="AM46" s="14" t="s">
        <v>96</v>
      </c>
      <c r="AN46" s="7" t="s">
        <v>359</v>
      </c>
      <c r="AO46" s="7" t="s">
        <v>881</v>
      </c>
    </row>
    <row r="47" ht="15.75" customHeight="1">
      <c r="A47" s="7">
        <v>46.0</v>
      </c>
      <c r="B47" s="7" t="s">
        <v>882</v>
      </c>
      <c r="C47" s="7" t="s">
        <v>365</v>
      </c>
      <c r="D47" s="8" t="s">
        <v>99</v>
      </c>
      <c r="E47" s="8" t="s">
        <v>499</v>
      </c>
      <c r="F47" s="8" t="s">
        <v>885</v>
      </c>
      <c r="G47" s="8" t="s">
        <v>886</v>
      </c>
      <c r="H47" s="8" t="s">
        <v>887</v>
      </c>
      <c r="I47" s="8" t="s">
        <v>888</v>
      </c>
      <c r="J47" s="9">
        <v>1996.0</v>
      </c>
      <c r="K47" s="9">
        <v>1995.0</v>
      </c>
      <c r="L47" s="8" t="s">
        <v>105</v>
      </c>
      <c r="M47" s="8"/>
      <c r="N47" s="8"/>
      <c r="O47" s="9">
        <v>900000.0</v>
      </c>
      <c r="P47" s="8" t="s">
        <v>108</v>
      </c>
      <c r="Q47" s="12">
        <f t="shared" si="1"/>
        <v>90</v>
      </c>
      <c r="R47" s="7" t="str">
        <f t="shared" si="2"/>
        <v>〜500万</v>
      </c>
      <c r="S47" s="8" t="s">
        <v>890</v>
      </c>
      <c r="T47" s="9"/>
      <c r="U47" s="9">
        <v>6.0</v>
      </c>
      <c r="V47" s="7" t="str">
        <f t="shared" si="3"/>
        <v>〜6ヶ月</v>
      </c>
      <c r="W47" s="8" t="s">
        <v>891</v>
      </c>
      <c r="X47" s="8" t="s">
        <v>892</v>
      </c>
      <c r="Y47" s="8" t="s">
        <v>893</v>
      </c>
      <c r="Z47" s="8" t="s">
        <v>894</v>
      </c>
      <c r="AA47" s="8" t="s">
        <v>895</v>
      </c>
      <c r="AB47" s="8" t="s">
        <v>125</v>
      </c>
      <c r="AC47" s="8" t="s">
        <v>126</v>
      </c>
      <c r="AD47" s="8"/>
      <c r="AE47" s="8" t="s">
        <v>899</v>
      </c>
      <c r="AF47" s="8" t="s">
        <v>128</v>
      </c>
      <c r="AG47" s="8"/>
      <c r="AH47" s="7" t="str">
        <f t="shared" si="4"/>
        <v/>
      </c>
      <c r="AI47" s="7"/>
      <c r="AJ47" s="13" t="s">
        <v>134</v>
      </c>
      <c r="AK47" s="13"/>
      <c r="AL47" s="13"/>
      <c r="AM47" s="14" t="s">
        <v>96</v>
      </c>
      <c r="AN47" s="7" t="s">
        <v>902</v>
      </c>
      <c r="AO47" s="7" t="s">
        <v>904</v>
      </c>
    </row>
    <row r="48" ht="15.75" customHeight="1">
      <c r="A48" s="7">
        <v>47.0</v>
      </c>
      <c r="B48" s="7" t="s">
        <v>882</v>
      </c>
      <c r="C48" s="7" t="s">
        <v>365</v>
      </c>
      <c r="D48" s="8" t="s">
        <v>240</v>
      </c>
      <c r="E48" s="8" t="s">
        <v>499</v>
      </c>
      <c r="F48" s="8" t="s">
        <v>733</v>
      </c>
      <c r="G48" s="8" t="s">
        <v>905</v>
      </c>
      <c r="H48" s="8" t="s">
        <v>906</v>
      </c>
      <c r="I48" s="8" t="s">
        <v>888</v>
      </c>
      <c r="J48" s="9">
        <v>1996.0</v>
      </c>
      <c r="K48" s="9">
        <v>1995.0</v>
      </c>
      <c r="L48" s="8" t="s">
        <v>105</v>
      </c>
      <c r="M48" s="8"/>
      <c r="N48" s="8"/>
      <c r="O48" s="9">
        <v>4.5771E9</v>
      </c>
      <c r="P48" s="8" t="s">
        <v>108</v>
      </c>
      <c r="Q48" s="12">
        <f t="shared" si="1"/>
        <v>457710</v>
      </c>
      <c r="R48" s="7" t="str">
        <f t="shared" si="2"/>
        <v>3,000万〜</v>
      </c>
      <c r="S48" s="8" t="s">
        <v>908</v>
      </c>
      <c r="T48" s="9"/>
      <c r="U48" s="9">
        <v>8.0</v>
      </c>
      <c r="V48" s="7" t="str">
        <f t="shared" si="3"/>
        <v>7〜12ヶ月</v>
      </c>
      <c r="W48" s="8" t="s">
        <v>909</v>
      </c>
      <c r="X48" s="8" t="s">
        <v>910</v>
      </c>
      <c r="Y48" s="8" t="s">
        <v>911</v>
      </c>
      <c r="Z48" s="8" t="s">
        <v>912</v>
      </c>
      <c r="AA48" s="8" t="s">
        <v>913</v>
      </c>
      <c r="AB48" s="8" t="s">
        <v>125</v>
      </c>
      <c r="AC48" s="8" t="s">
        <v>126</v>
      </c>
      <c r="AD48" s="8"/>
      <c r="AE48" s="8" t="s">
        <v>915</v>
      </c>
      <c r="AF48" s="8" t="s">
        <v>182</v>
      </c>
      <c r="AG48" s="8" t="s">
        <v>413</v>
      </c>
      <c r="AH48" s="7" t="str">
        <f t="shared" si="4"/>
        <v/>
      </c>
      <c r="AI48" s="7"/>
      <c r="AJ48" s="13" t="s">
        <v>134</v>
      </c>
      <c r="AK48" s="13"/>
      <c r="AL48" s="13"/>
      <c r="AM48" s="14" t="s">
        <v>96</v>
      </c>
      <c r="AN48" s="7" t="s">
        <v>367</v>
      </c>
      <c r="AO48" s="7" t="s">
        <v>920</v>
      </c>
    </row>
    <row r="49" ht="15.75" customHeight="1">
      <c r="A49" s="7">
        <v>48.0</v>
      </c>
      <c r="B49" s="7" t="s">
        <v>922</v>
      </c>
      <c r="C49" s="7" t="s">
        <v>371</v>
      </c>
      <c r="D49" s="8" t="s">
        <v>99</v>
      </c>
      <c r="E49" s="8" t="s">
        <v>499</v>
      </c>
      <c r="F49" s="8" t="s">
        <v>923</v>
      </c>
      <c r="G49" s="8" t="s">
        <v>924</v>
      </c>
      <c r="H49" s="8" t="s">
        <v>925</v>
      </c>
      <c r="I49" s="8" t="s">
        <v>926</v>
      </c>
      <c r="J49" s="9">
        <v>1818.0</v>
      </c>
      <c r="K49" s="9">
        <v>1980.0</v>
      </c>
      <c r="L49" s="8" t="s">
        <v>105</v>
      </c>
      <c r="M49" s="8"/>
      <c r="N49" s="8"/>
      <c r="O49" s="9">
        <v>2.66E7</v>
      </c>
      <c r="P49" s="8" t="s">
        <v>108</v>
      </c>
      <c r="Q49" s="12">
        <f t="shared" si="1"/>
        <v>2660</v>
      </c>
      <c r="R49" s="7" t="str">
        <f t="shared" si="2"/>
        <v>1,000〜3,000万</v>
      </c>
      <c r="S49" s="8" t="s">
        <v>928</v>
      </c>
      <c r="T49" s="9"/>
      <c r="U49" s="9">
        <v>24.0</v>
      </c>
      <c r="V49" s="7" t="str">
        <f t="shared" si="3"/>
        <v>13〜24ヶ月</v>
      </c>
      <c r="W49" s="8" t="s">
        <v>929</v>
      </c>
      <c r="X49" s="8" t="s">
        <v>930</v>
      </c>
      <c r="Y49" s="8" t="s">
        <v>931</v>
      </c>
      <c r="Z49" s="8" t="s">
        <v>894</v>
      </c>
      <c r="AA49" s="8" t="s">
        <v>932</v>
      </c>
      <c r="AB49" s="8" t="s">
        <v>125</v>
      </c>
      <c r="AC49" s="8" t="s">
        <v>126</v>
      </c>
      <c r="AD49" s="8"/>
      <c r="AE49" s="8" t="s">
        <v>933</v>
      </c>
      <c r="AF49" s="8" t="s">
        <v>182</v>
      </c>
      <c r="AG49" s="8" t="s">
        <v>95</v>
      </c>
      <c r="AH49" s="7" t="str">
        <f t="shared" si="4"/>
        <v/>
      </c>
      <c r="AI49" s="7"/>
      <c r="AJ49" s="13" t="s">
        <v>134</v>
      </c>
      <c r="AK49" s="13"/>
      <c r="AL49" s="13"/>
      <c r="AM49" s="14" t="s">
        <v>96</v>
      </c>
      <c r="AN49" s="7" t="s">
        <v>372</v>
      </c>
      <c r="AO49" s="7" t="s">
        <v>937</v>
      </c>
    </row>
    <row r="50" ht="15.75" customHeight="1">
      <c r="A50" s="7">
        <v>49.0</v>
      </c>
      <c r="B50" s="7" t="s">
        <v>938</v>
      </c>
      <c r="C50" s="7" t="s">
        <v>699</v>
      </c>
      <c r="D50" s="8" t="s">
        <v>99</v>
      </c>
      <c r="E50" s="8" t="s">
        <v>499</v>
      </c>
      <c r="F50" s="8" t="s">
        <v>885</v>
      </c>
      <c r="G50" s="8" t="s">
        <v>886</v>
      </c>
      <c r="H50" s="8" t="s">
        <v>940</v>
      </c>
      <c r="I50" s="8" t="s">
        <v>942</v>
      </c>
      <c r="J50" s="9">
        <v>1996.0</v>
      </c>
      <c r="K50" s="9">
        <v>1995.0</v>
      </c>
      <c r="L50" s="8" t="s">
        <v>105</v>
      </c>
      <c r="M50" s="8"/>
      <c r="N50" s="8"/>
      <c r="O50" s="9">
        <v>5100000.0</v>
      </c>
      <c r="P50" s="8" t="s">
        <v>108</v>
      </c>
      <c r="Q50" s="12">
        <f t="shared" si="1"/>
        <v>510</v>
      </c>
      <c r="R50" s="7" t="str">
        <f t="shared" si="2"/>
        <v>500〜1,000万</v>
      </c>
      <c r="S50" s="8" t="s">
        <v>943</v>
      </c>
      <c r="T50" s="9"/>
      <c r="U50" s="9">
        <v>6.0</v>
      </c>
      <c r="V50" s="7" t="str">
        <f t="shared" si="3"/>
        <v>〜6ヶ月</v>
      </c>
      <c r="W50" s="8" t="s">
        <v>891</v>
      </c>
      <c r="X50" s="8" t="s">
        <v>892</v>
      </c>
      <c r="Y50" s="8" t="s">
        <v>945</v>
      </c>
      <c r="Z50" s="8" t="s">
        <v>894</v>
      </c>
      <c r="AA50" s="8" t="s">
        <v>946</v>
      </c>
      <c r="AB50" s="8" t="s">
        <v>125</v>
      </c>
      <c r="AC50" s="8" t="s">
        <v>126</v>
      </c>
      <c r="AD50" s="8"/>
      <c r="AE50" s="8" t="s">
        <v>947</v>
      </c>
      <c r="AF50" s="8" t="s">
        <v>182</v>
      </c>
      <c r="AG50" s="8"/>
      <c r="AH50" s="7" t="str">
        <f t="shared" si="4"/>
        <v/>
      </c>
      <c r="AI50" s="7"/>
      <c r="AJ50" s="13" t="s">
        <v>134</v>
      </c>
      <c r="AK50" s="13"/>
      <c r="AL50" s="13"/>
      <c r="AM50" s="14" t="s">
        <v>96</v>
      </c>
      <c r="AN50" s="7" t="s">
        <v>951</v>
      </c>
      <c r="AO50" s="7" t="s">
        <v>952</v>
      </c>
    </row>
    <row r="51" ht="15.75" customHeight="1">
      <c r="A51" s="7">
        <v>50.0</v>
      </c>
      <c r="B51" s="7" t="s">
        <v>953</v>
      </c>
      <c r="C51" s="7" t="s">
        <v>954</v>
      </c>
      <c r="D51" s="8" t="s">
        <v>99</v>
      </c>
      <c r="E51" s="8" t="s">
        <v>499</v>
      </c>
      <c r="F51" s="8" t="s">
        <v>956</v>
      </c>
      <c r="G51" s="8" t="s">
        <v>957</v>
      </c>
      <c r="H51" s="8" t="s">
        <v>958</v>
      </c>
      <c r="I51" s="8" t="s">
        <v>959</v>
      </c>
      <c r="J51" s="9">
        <v>1996.0</v>
      </c>
      <c r="K51" s="9">
        <v>1995.0</v>
      </c>
      <c r="L51" s="8" t="s">
        <v>105</v>
      </c>
      <c r="M51" s="8"/>
      <c r="N51" s="8"/>
      <c r="O51" s="9">
        <v>4400000.0</v>
      </c>
      <c r="P51" s="8" t="s">
        <v>108</v>
      </c>
      <c r="Q51" s="12">
        <f t="shared" si="1"/>
        <v>440</v>
      </c>
      <c r="R51" s="7" t="str">
        <f t="shared" si="2"/>
        <v>〜500万</v>
      </c>
      <c r="S51" s="8" t="s">
        <v>962</v>
      </c>
      <c r="T51" s="9"/>
      <c r="U51" s="9">
        <v>5.0</v>
      </c>
      <c r="V51" s="7" t="str">
        <f t="shared" si="3"/>
        <v>〜6ヶ月</v>
      </c>
      <c r="W51" s="8" t="s">
        <v>964</v>
      </c>
      <c r="X51" s="8" t="s">
        <v>965</v>
      </c>
      <c r="Y51" s="8" t="s">
        <v>966</v>
      </c>
      <c r="Z51" s="8" t="s">
        <v>894</v>
      </c>
      <c r="AA51" s="8" t="s">
        <v>967</v>
      </c>
      <c r="AB51" s="8" t="s">
        <v>125</v>
      </c>
      <c r="AC51" s="8" t="s">
        <v>126</v>
      </c>
      <c r="AD51" s="8"/>
      <c r="AE51" s="8" t="s">
        <v>968</v>
      </c>
      <c r="AF51" s="8" t="s">
        <v>182</v>
      </c>
      <c r="AG51" s="8"/>
      <c r="AH51" s="7" t="str">
        <f t="shared" si="4"/>
        <v/>
      </c>
      <c r="AI51" s="7"/>
      <c r="AJ51" s="13" t="s">
        <v>134</v>
      </c>
      <c r="AK51" s="13"/>
      <c r="AL51" s="13"/>
      <c r="AM51" s="14" t="s">
        <v>96</v>
      </c>
      <c r="AN51" s="7" t="s">
        <v>972</v>
      </c>
      <c r="AO51" s="7" t="s">
        <v>973</v>
      </c>
    </row>
    <row r="52" ht="15.75" customHeight="1">
      <c r="A52" s="7">
        <v>51.0</v>
      </c>
      <c r="B52" s="7" t="s">
        <v>974</v>
      </c>
      <c r="C52" s="7" t="s">
        <v>914</v>
      </c>
      <c r="D52" s="8" t="s">
        <v>99</v>
      </c>
      <c r="E52" s="8" t="s">
        <v>499</v>
      </c>
      <c r="F52" s="8" t="s">
        <v>976</v>
      </c>
      <c r="G52" s="8" t="s">
        <v>923</v>
      </c>
      <c r="H52" s="8" t="s">
        <v>977</v>
      </c>
      <c r="I52" s="8" t="s">
        <v>978</v>
      </c>
      <c r="J52" s="9">
        <v>1996.0</v>
      </c>
      <c r="K52" s="9">
        <v>1995.0</v>
      </c>
      <c r="L52" s="8" t="s">
        <v>105</v>
      </c>
      <c r="M52" s="8"/>
      <c r="N52" s="8" t="s">
        <v>979</v>
      </c>
      <c r="O52" s="9">
        <v>1.414E8</v>
      </c>
      <c r="P52" s="8" t="s">
        <v>108</v>
      </c>
      <c r="Q52" s="12">
        <f t="shared" si="1"/>
        <v>14140</v>
      </c>
      <c r="R52" s="7" t="str">
        <f t="shared" si="2"/>
        <v>3,000万〜</v>
      </c>
      <c r="S52" s="8" t="s">
        <v>980</v>
      </c>
      <c r="T52" s="9"/>
      <c r="U52" s="9">
        <v>12.0</v>
      </c>
      <c r="V52" s="7" t="str">
        <f t="shared" si="3"/>
        <v>7〜12ヶ月</v>
      </c>
      <c r="W52" s="8" t="s">
        <v>981</v>
      </c>
      <c r="X52" s="8" t="s">
        <v>982</v>
      </c>
      <c r="Y52" s="8" t="s">
        <v>983</v>
      </c>
      <c r="Z52" s="8" t="s">
        <v>894</v>
      </c>
      <c r="AA52" s="8" t="s">
        <v>984</v>
      </c>
      <c r="AB52" s="8" t="s">
        <v>125</v>
      </c>
      <c r="AC52" s="8" t="s">
        <v>126</v>
      </c>
      <c r="AD52" s="8"/>
      <c r="AE52" s="8" t="s">
        <v>899</v>
      </c>
      <c r="AF52" s="8" t="s">
        <v>182</v>
      </c>
      <c r="AG52" s="8"/>
      <c r="AH52" s="7" t="str">
        <f t="shared" si="4"/>
        <v/>
      </c>
      <c r="AI52" s="7"/>
      <c r="AJ52" s="13" t="s">
        <v>134</v>
      </c>
      <c r="AK52" s="13"/>
      <c r="AL52" s="13"/>
      <c r="AM52" s="14" t="s">
        <v>96</v>
      </c>
      <c r="AN52" s="7" t="s">
        <v>988</v>
      </c>
      <c r="AO52" s="7" t="s">
        <v>989</v>
      </c>
    </row>
    <row r="53" ht="15.75" customHeight="1">
      <c r="A53" s="7">
        <v>52.0</v>
      </c>
      <c r="B53" s="7" t="s">
        <v>991</v>
      </c>
      <c r="C53" s="7" t="s">
        <v>707</v>
      </c>
      <c r="D53" s="8" t="s">
        <v>99</v>
      </c>
      <c r="E53" s="8" t="s">
        <v>499</v>
      </c>
      <c r="F53" s="8" t="s">
        <v>956</v>
      </c>
      <c r="G53" s="8" t="s">
        <v>957</v>
      </c>
      <c r="H53" s="8" t="s">
        <v>993</v>
      </c>
      <c r="I53" s="8" t="s">
        <v>994</v>
      </c>
      <c r="J53" s="9">
        <v>1996.0</v>
      </c>
      <c r="K53" s="9">
        <v>1995.0</v>
      </c>
      <c r="L53" s="8" t="s">
        <v>105</v>
      </c>
      <c r="M53" s="8"/>
      <c r="N53" s="8" t="s">
        <v>995</v>
      </c>
      <c r="O53" s="9">
        <v>7300000.0</v>
      </c>
      <c r="P53" s="8" t="s">
        <v>108</v>
      </c>
      <c r="Q53" s="12">
        <f t="shared" si="1"/>
        <v>730</v>
      </c>
      <c r="R53" s="7" t="str">
        <f t="shared" si="2"/>
        <v>500〜1,000万</v>
      </c>
      <c r="S53" s="8" t="s">
        <v>996</v>
      </c>
      <c r="T53" s="9"/>
      <c r="U53" s="9">
        <v>6.0</v>
      </c>
      <c r="V53" s="7" t="str">
        <f t="shared" si="3"/>
        <v>〜6ヶ月</v>
      </c>
      <c r="W53" s="8" t="s">
        <v>891</v>
      </c>
      <c r="X53" s="8" t="s">
        <v>998</v>
      </c>
      <c r="Y53" s="8" t="s">
        <v>999</v>
      </c>
      <c r="Z53" s="8" t="s">
        <v>894</v>
      </c>
      <c r="AA53" s="8" t="s">
        <v>1000</v>
      </c>
      <c r="AB53" s="8" t="s">
        <v>125</v>
      </c>
      <c r="AC53" s="8" t="s">
        <v>126</v>
      </c>
      <c r="AD53" s="8"/>
      <c r="AE53" s="8" t="s">
        <v>1001</v>
      </c>
      <c r="AF53" s="8" t="s">
        <v>182</v>
      </c>
      <c r="AG53" s="8"/>
      <c r="AH53" s="7" t="str">
        <f t="shared" si="4"/>
        <v/>
      </c>
      <c r="AI53" s="7"/>
      <c r="AJ53" s="13" t="s">
        <v>134</v>
      </c>
      <c r="AK53" s="13"/>
      <c r="AL53" s="13"/>
      <c r="AM53" s="14" t="s">
        <v>96</v>
      </c>
      <c r="AN53" s="7" t="s">
        <v>1005</v>
      </c>
      <c r="AO53" s="7" t="s">
        <v>1006</v>
      </c>
    </row>
    <row r="54" ht="15.75" customHeight="1">
      <c r="A54" s="7">
        <v>53.0</v>
      </c>
      <c r="B54" s="7" t="s">
        <v>1007</v>
      </c>
      <c r="C54" s="7" t="s">
        <v>384</v>
      </c>
      <c r="D54" s="8" t="s">
        <v>99</v>
      </c>
      <c r="E54" s="8" t="s">
        <v>499</v>
      </c>
      <c r="F54" s="8" t="s">
        <v>1008</v>
      </c>
      <c r="G54" s="8" t="s">
        <v>1009</v>
      </c>
      <c r="H54" s="8" t="s">
        <v>1010</v>
      </c>
      <c r="I54" s="8" t="s">
        <v>1011</v>
      </c>
      <c r="J54" s="9">
        <v>1996.0</v>
      </c>
      <c r="K54" s="9">
        <v>1995.0</v>
      </c>
      <c r="L54" s="8" t="s">
        <v>105</v>
      </c>
      <c r="M54" s="8" t="s">
        <v>1012</v>
      </c>
      <c r="N54" s="8" t="s">
        <v>1014</v>
      </c>
      <c r="O54" s="9">
        <v>1.719E8</v>
      </c>
      <c r="P54" s="8" t="s">
        <v>108</v>
      </c>
      <c r="Q54" s="12">
        <f t="shared" si="1"/>
        <v>17190</v>
      </c>
      <c r="R54" s="7" t="str">
        <f t="shared" si="2"/>
        <v>3,000万〜</v>
      </c>
      <c r="S54" s="8" t="s">
        <v>1016</v>
      </c>
      <c r="T54" s="9"/>
      <c r="U54" s="9">
        <v>40.0</v>
      </c>
      <c r="V54" s="7" t="str">
        <f t="shared" si="3"/>
        <v>25ヶ月〜</v>
      </c>
      <c r="W54" s="8" t="s">
        <v>1017</v>
      </c>
      <c r="X54" s="8" t="s">
        <v>1018</v>
      </c>
      <c r="Y54" s="8" t="s">
        <v>1019</v>
      </c>
      <c r="Z54" s="8" t="s">
        <v>894</v>
      </c>
      <c r="AA54" s="8" t="s">
        <v>1020</v>
      </c>
      <c r="AB54" s="8" t="s">
        <v>125</v>
      </c>
      <c r="AC54" s="8" t="s">
        <v>126</v>
      </c>
      <c r="AD54" s="8"/>
      <c r="AE54" s="8" t="s">
        <v>1021</v>
      </c>
      <c r="AF54" s="8" t="s">
        <v>182</v>
      </c>
      <c r="AG54" s="8" t="s">
        <v>95</v>
      </c>
      <c r="AH54" s="7" t="str">
        <f t="shared" si="4"/>
        <v/>
      </c>
      <c r="AI54" s="7"/>
      <c r="AJ54" s="13" t="s">
        <v>134</v>
      </c>
      <c r="AK54" s="13"/>
      <c r="AL54" s="13"/>
      <c r="AM54" s="14" t="s">
        <v>96</v>
      </c>
      <c r="AN54" s="7" t="s">
        <v>385</v>
      </c>
      <c r="AO54" s="7" t="s">
        <v>1026</v>
      </c>
    </row>
    <row r="55" ht="15.75" customHeight="1">
      <c r="A55" s="7">
        <v>54.0</v>
      </c>
      <c r="B55" s="7" t="s">
        <v>1027</v>
      </c>
      <c r="C55" s="7" t="s">
        <v>393</v>
      </c>
      <c r="D55" s="8" t="s">
        <v>99</v>
      </c>
      <c r="E55" s="8" t="s">
        <v>499</v>
      </c>
      <c r="F55" s="8" t="s">
        <v>1028</v>
      </c>
      <c r="G55" s="8" t="s">
        <v>1029</v>
      </c>
      <c r="H55" s="8" t="s">
        <v>1030</v>
      </c>
      <c r="I55" s="8" t="s">
        <v>1031</v>
      </c>
      <c r="J55" s="9">
        <v>1996.0</v>
      </c>
      <c r="K55" s="9">
        <v>1995.0</v>
      </c>
      <c r="L55" s="8" t="s">
        <v>105</v>
      </c>
      <c r="M55" s="8" t="s">
        <v>1032</v>
      </c>
      <c r="N55" s="8" t="s">
        <v>1033</v>
      </c>
      <c r="O55" s="9">
        <v>1.63E7</v>
      </c>
      <c r="P55" s="8" t="s">
        <v>108</v>
      </c>
      <c r="Q55" s="12">
        <f t="shared" si="1"/>
        <v>1630</v>
      </c>
      <c r="R55" s="7" t="str">
        <f t="shared" si="2"/>
        <v>1,000〜3,000万</v>
      </c>
      <c r="S55" s="8" t="s">
        <v>1034</v>
      </c>
      <c r="T55" s="9"/>
      <c r="U55" s="9">
        <v>15.0</v>
      </c>
      <c r="V55" s="7" t="str">
        <f t="shared" si="3"/>
        <v>13〜24ヶ月</v>
      </c>
      <c r="W55" s="8" t="s">
        <v>1036</v>
      </c>
      <c r="X55" s="8" t="s">
        <v>1037</v>
      </c>
      <c r="Y55" s="8" t="s">
        <v>1038</v>
      </c>
      <c r="Z55" s="8" t="s">
        <v>894</v>
      </c>
      <c r="AA55" s="8" t="s">
        <v>1039</v>
      </c>
      <c r="AB55" s="8" t="s">
        <v>125</v>
      </c>
      <c r="AC55" s="8" t="s">
        <v>126</v>
      </c>
      <c r="AD55" s="8"/>
      <c r="AE55" s="8" t="s">
        <v>1040</v>
      </c>
      <c r="AF55" s="8" t="s">
        <v>128</v>
      </c>
      <c r="AG55" s="8" t="s">
        <v>95</v>
      </c>
      <c r="AH55" s="7" t="str">
        <f t="shared" si="4"/>
        <v/>
      </c>
      <c r="AI55" s="7"/>
      <c r="AJ55" s="13" t="s">
        <v>134</v>
      </c>
      <c r="AK55" s="13"/>
      <c r="AL55" s="13"/>
      <c r="AM55" s="14" t="s">
        <v>96</v>
      </c>
      <c r="AN55" s="7" t="s">
        <v>395</v>
      </c>
      <c r="AO55" s="7" t="s">
        <v>1042</v>
      </c>
    </row>
    <row r="56" ht="15.75" customHeight="1">
      <c r="A56" s="7">
        <v>55.0</v>
      </c>
      <c r="B56" s="7" t="s">
        <v>1027</v>
      </c>
      <c r="C56" s="7" t="s">
        <v>393</v>
      </c>
      <c r="D56" s="8" t="s">
        <v>240</v>
      </c>
      <c r="E56" s="8" t="s">
        <v>499</v>
      </c>
      <c r="F56" s="8" t="s">
        <v>1044</v>
      </c>
      <c r="G56" s="8" t="s">
        <v>1045</v>
      </c>
      <c r="H56" s="8" t="s">
        <v>1046</v>
      </c>
      <c r="I56" s="8" t="s">
        <v>1031</v>
      </c>
      <c r="J56" s="9">
        <v>1996.0</v>
      </c>
      <c r="K56" s="9">
        <v>1995.0</v>
      </c>
      <c r="L56" s="8" t="s">
        <v>105</v>
      </c>
      <c r="M56" s="8" t="s">
        <v>1047</v>
      </c>
      <c r="N56" s="8"/>
      <c r="O56" s="9">
        <v>3.21E7</v>
      </c>
      <c r="P56" s="8" t="s">
        <v>108</v>
      </c>
      <c r="Q56" s="12">
        <f t="shared" si="1"/>
        <v>3210</v>
      </c>
      <c r="R56" s="7" t="str">
        <f t="shared" si="2"/>
        <v>3,000万〜</v>
      </c>
      <c r="S56" s="8" t="s">
        <v>1048</v>
      </c>
      <c r="T56" s="9"/>
      <c r="U56" s="9">
        <v>17.0</v>
      </c>
      <c r="V56" s="7" t="str">
        <f t="shared" si="3"/>
        <v>13〜24ヶ月</v>
      </c>
      <c r="W56" s="8" t="s">
        <v>1049</v>
      </c>
      <c r="X56" s="8" t="s">
        <v>1050</v>
      </c>
      <c r="Y56" s="8" t="s">
        <v>1052</v>
      </c>
      <c r="Z56" s="8" t="s">
        <v>1053</v>
      </c>
      <c r="AA56" s="8" t="s">
        <v>1054</v>
      </c>
      <c r="AB56" s="8" t="s">
        <v>125</v>
      </c>
      <c r="AC56" s="8" t="s">
        <v>126</v>
      </c>
      <c r="AD56" s="8"/>
      <c r="AE56" s="8" t="s">
        <v>1055</v>
      </c>
      <c r="AF56" s="8" t="s">
        <v>182</v>
      </c>
      <c r="AG56" s="8" t="s">
        <v>413</v>
      </c>
      <c r="AH56" s="7" t="str">
        <f t="shared" si="4"/>
        <v/>
      </c>
      <c r="AI56" s="7"/>
      <c r="AJ56" s="13" t="s">
        <v>134</v>
      </c>
      <c r="AK56" s="13"/>
      <c r="AL56" s="13"/>
      <c r="AM56" s="14" t="s">
        <v>96</v>
      </c>
      <c r="AN56" s="7" t="s">
        <v>412</v>
      </c>
      <c r="AO56" s="7" t="s">
        <v>1057</v>
      </c>
    </row>
    <row r="57" ht="15.75" customHeight="1">
      <c r="A57" s="7">
        <v>56.0</v>
      </c>
      <c r="B57" s="7" t="s">
        <v>1058</v>
      </c>
      <c r="C57" s="7" t="s">
        <v>424</v>
      </c>
      <c r="D57" s="8" t="s">
        <v>99</v>
      </c>
      <c r="E57" s="8" t="s">
        <v>499</v>
      </c>
      <c r="F57" s="8" t="s">
        <v>1059</v>
      </c>
      <c r="G57" s="8" t="s">
        <v>1060</v>
      </c>
      <c r="H57" s="8" t="s">
        <v>1061</v>
      </c>
      <c r="I57" s="8" t="s">
        <v>1062</v>
      </c>
      <c r="J57" s="9">
        <v>1996.0</v>
      </c>
      <c r="K57" s="9">
        <v>1995.0</v>
      </c>
      <c r="L57" s="8" t="s">
        <v>105</v>
      </c>
      <c r="M57" s="8"/>
      <c r="N57" s="8"/>
      <c r="O57" s="9">
        <v>1500000.0</v>
      </c>
      <c r="P57" s="8" t="s">
        <v>108</v>
      </c>
      <c r="Q57" s="12">
        <f t="shared" si="1"/>
        <v>150</v>
      </c>
      <c r="R57" s="7" t="str">
        <f t="shared" si="2"/>
        <v>〜500万</v>
      </c>
      <c r="S57" s="8" t="s">
        <v>1064</v>
      </c>
      <c r="T57" s="9"/>
      <c r="U57" s="9">
        <v>4.0</v>
      </c>
      <c r="V57" s="7" t="str">
        <f t="shared" si="3"/>
        <v>〜6ヶ月</v>
      </c>
      <c r="W57" s="8" t="s">
        <v>1065</v>
      </c>
      <c r="X57" s="8" t="s">
        <v>1066</v>
      </c>
      <c r="Y57" s="8" t="s">
        <v>1067</v>
      </c>
      <c r="Z57" s="8" t="s">
        <v>894</v>
      </c>
      <c r="AA57" s="8" t="s">
        <v>1068</v>
      </c>
      <c r="AB57" s="8" t="s">
        <v>125</v>
      </c>
      <c r="AC57" s="8" t="s">
        <v>126</v>
      </c>
      <c r="AD57" s="8"/>
      <c r="AE57" s="8" t="s">
        <v>1021</v>
      </c>
      <c r="AF57" s="8" t="s">
        <v>128</v>
      </c>
      <c r="AG57" s="8"/>
      <c r="AH57" s="7" t="str">
        <f t="shared" si="4"/>
        <v/>
      </c>
      <c r="AI57" s="7"/>
      <c r="AJ57" s="13" t="s">
        <v>134</v>
      </c>
      <c r="AK57" s="13"/>
      <c r="AL57" s="13"/>
      <c r="AM57" s="14" t="s">
        <v>96</v>
      </c>
      <c r="AN57" s="7" t="s">
        <v>1070</v>
      </c>
      <c r="AO57" s="7" t="s">
        <v>1071</v>
      </c>
    </row>
    <row r="58" ht="15.75" customHeight="1">
      <c r="A58" s="7">
        <v>57.0</v>
      </c>
      <c r="B58" s="7" t="s">
        <v>1058</v>
      </c>
      <c r="C58" s="7" t="s">
        <v>424</v>
      </c>
      <c r="D58" s="8" t="s">
        <v>240</v>
      </c>
      <c r="E58" s="8" t="s">
        <v>499</v>
      </c>
      <c r="F58" s="8" t="s">
        <v>905</v>
      </c>
      <c r="G58" s="8" t="s">
        <v>1073</v>
      </c>
      <c r="H58" s="8" t="s">
        <v>1074</v>
      </c>
      <c r="I58" s="8" t="s">
        <v>1062</v>
      </c>
      <c r="J58" s="9">
        <v>1996.0</v>
      </c>
      <c r="K58" s="9">
        <v>1995.0</v>
      </c>
      <c r="L58" s="8" t="s">
        <v>105</v>
      </c>
      <c r="M58" s="8"/>
      <c r="N58" s="8"/>
      <c r="O58" s="9">
        <v>4.563E9</v>
      </c>
      <c r="P58" s="8" t="s">
        <v>108</v>
      </c>
      <c r="Q58" s="12">
        <f t="shared" si="1"/>
        <v>456300</v>
      </c>
      <c r="R58" s="7" t="str">
        <f t="shared" si="2"/>
        <v>3,000万〜</v>
      </c>
      <c r="S58" s="8" t="s">
        <v>1075</v>
      </c>
      <c r="T58" s="9"/>
      <c r="U58" s="9">
        <v>4.0</v>
      </c>
      <c r="V58" s="7" t="str">
        <f t="shared" si="3"/>
        <v>〜6ヶ月</v>
      </c>
      <c r="W58" s="8" t="s">
        <v>1076</v>
      </c>
      <c r="X58" s="8" t="s">
        <v>1077</v>
      </c>
      <c r="Y58" s="8" t="s">
        <v>1078</v>
      </c>
      <c r="Z58" s="8" t="s">
        <v>1079</v>
      </c>
      <c r="AA58" s="8" t="s">
        <v>1080</v>
      </c>
      <c r="AB58" s="8" t="s">
        <v>125</v>
      </c>
      <c r="AC58" s="8" t="s">
        <v>126</v>
      </c>
      <c r="AD58" s="8"/>
      <c r="AE58" s="8" t="s">
        <v>1081</v>
      </c>
      <c r="AF58" s="8" t="s">
        <v>182</v>
      </c>
      <c r="AG58" s="8" t="s">
        <v>185</v>
      </c>
      <c r="AH58" s="7" t="str">
        <f t="shared" si="4"/>
        <v/>
      </c>
      <c r="AI58" s="7"/>
      <c r="AJ58" s="13" t="s">
        <v>134</v>
      </c>
      <c r="AK58" s="13"/>
      <c r="AL58" s="13"/>
      <c r="AM58" s="14" t="s">
        <v>96</v>
      </c>
      <c r="AN58" s="7" t="s">
        <v>425</v>
      </c>
      <c r="AO58" s="7" t="s">
        <v>1084</v>
      </c>
    </row>
    <row r="59" ht="15.75" customHeight="1">
      <c r="A59" s="7">
        <v>58.0</v>
      </c>
      <c r="B59" s="7" t="s">
        <v>1085</v>
      </c>
      <c r="C59" s="7" t="s">
        <v>439</v>
      </c>
      <c r="D59" s="8" t="s">
        <v>99</v>
      </c>
      <c r="E59" s="8" t="s">
        <v>499</v>
      </c>
      <c r="F59" s="8" t="s">
        <v>1086</v>
      </c>
      <c r="G59" s="8" t="s">
        <v>1087</v>
      </c>
      <c r="H59" s="8" t="s">
        <v>1088</v>
      </c>
      <c r="I59" s="8" t="s">
        <v>1089</v>
      </c>
      <c r="J59" s="9">
        <v>1996.0</v>
      </c>
      <c r="K59" s="9">
        <v>1995.0</v>
      </c>
      <c r="L59" s="8" t="s">
        <v>105</v>
      </c>
      <c r="M59" s="8"/>
      <c r="N59" s="8" t="s">
        <v>1090</v>
      </c>
      <c r="O59" s="9">
        <v>1.027E8</v>
      </c>
      <c r="P59" s="8" t="s">
        <v>108</v>
      </c>
      <c r="Q59" s="12">
        <f t="shared" si="1"/>
        <v>10270</v>
      </c>
      <c r="R59" s="7" t="str">
        <f t="shared" si="2"/>
        <v>3,000万〜</v>
      </c>
      <c r="S59" s="8" t="s">
        <v>1091</v>
      </c>
      <c r="T59" s="9"/>
      <c r="U59" s="9">
        <v>36.0</v>
      </c>
      <c r="V59" s="7" t="str">
        <f t="shared" si="3"/>
        <v>25ヶ月〜</v>
      </c>
      <c r="W59" s="8" t="s">
        <v>1093</v>
      </c>
      <c r="X59" s="8" t="s">
        <v>1094</v>
      </c>
      <c r="Y59" s="8" t="s">
        <v>1095</v>
      </c>
      <c r="Z59" s="8" t="s">
        <v>894</v>
      </c>
      <c r="AA59" s="8" t="s">
        <v>1096</v>
      </c>
      <c r="AB59" s="8" t="s">
        <v>125</v>
      </c>
      <c r="AC59" s="8" t="s">
        <v>126</v>
      </c>
      <c r="AD59" s="8"/>
      <c r="AE59" s="8" t="s">
        <v>899</v>
      </c>
      <c r="AF59" s="8" t="s">
        <v>182</v>
      </c>
      <c r="AG59" s="8" t="s">
        <v>95</v>
      </c>
      <c r="AH59" s="7" t="str">
        <f t="shared" si="4"/>
        <v/>
      </c>
      <c r="AI59" s="7"/>
      <c r="AJ59" s="13" t="s">
        <v>134</v>
      </c>
      <c r="AK59" s="13"/>
      <c r="AL59" s="13"/>
      <c r="AM59" s="14" t="s">
        <v>96</v>
      </c>
      <c r="AN59" s="7" t="s">
        <v>440</v>
      </c>
      <c r="AO59" s="7" t="s">
        <v>1098</v>
      </c>
    </row>
    <row r="60" ht="15.75" customHeight="1">
      <c r="A60" s="7">
        <v>59.0</v>
      </c>
      <c r="B60" s="7" t="s">
        <v>1099</v>
      </c>
      <c r="C60" s="7" t="s">
        <v>451</v>
      </c>
      <c r="D60" s="8" t="s">
        <v>99</v>
      </c>
      <c r="E60" s="8" t="s">
        <v>499</v>
      </c>
      <c r="F60" s="8" t="s">
        <v>1086</v>
      </c>
      <c r="G60" s="8" t="s">
        <v>1087</v>
      </c>
      <c r="H60" s="8" t="s">
        <v>1100</v>
      </c>
      <c r="I60" s="8" t="s">
        <v>1101</v>
      </c>
      <c r="J60" s="9">
        <v>1996.0</v>
      </c>
      <c r="K60" s="9">
        <v>1995.0</v>
      </c>
      <c r="L60" s="8" t="s">
        <v>105</v>
      </c>
      <c r="M60" s="8"/>
      <c r="N60" s="8" t="s">
        <v>1102</v>
      </c>
      <c r="O60" s="9">
        <v>9.32E7</v>
      </c>
      <c r="P60" s="8" t="s">
        <v>108</v>
      </c>
      <c r="Q60" s="12">
        <f t="shared" si="1"/>
        <v>9320</v>
      </c>
      <c r="R60" s="7" t="str">
        <f t="shared" si="2"/>
        <v>3,000万〜</v>
      </c>
      <c r="S60" s="8" t="s">
        <v>1104</v>
      </c>
      <c r="T60" s="9"/>
      <c r="U60" s="9">
        <v>33.0</v>
      </c>
      <c r="V60" s="7" t="str">
        <f t="shared" si="3"/>
        <v>25ヶ月〜</v>
      </c>
      <c r="W60" s="8" t="s">
        <v>1105</v>
      </c>
      <c r="X60" s="8" t="s">
        <v>1106</v>
      </c>
      <c r="Y60" s="8" t="s">
        <v>1107</v>
      </c>
      <c r="Z60" s="8" t="s">
        <v>1108</v>
      </c>
      <c r="AA60" s="8" t="s">
        <v>1109</v>
      </c>
      <c r="AB60" s="8" t="s">
        <v>125</v>
      </c>
      <c r="AC60" s="8" t="s">
        <v>126</v>
      </c>
      <c r="AD60" s="8"/>
      <c r="AE60" s="8" t="s">
        <v>899</v>
      </c>
      <c r="AF60" s="8" t="s">
        <v>182</v>
      </c>
      <c r="AG60" s="8" t="s">
        <v>95</v>
      </c>
      <c r="AH60" s="7" t="str">
        <f t="shared" si="4"/>
        <v/>
      </c>
      <c r="AI60" s="7"/>
      <c r="AJ60" s="13" t="s">
        <v>134</v>
      </c>
      <c r="AK60" s="13"/>
      <c r="AL60" s="13"/>
      <c r="AM60" s="14" t="s">
        <v>96</v>
      </c>
      <c r="AN60" s="7" t="s">
        <v>453</v>
      </c>
      <c r="AO60" s="7" t="s">
        <v>1111</v>
      </c>
    </row>
    <row r="61" ht="15.75" customHeight="1">
      <c r="A61" s="7">
        <v>60.0</v>
      </c>
      <c r="B61" s="7" t="s">
        <v>1113</v>
      </c>
      <c r="C61" s="7" t="s">
        <v>456</v>
      </c>
      <c r="D61" s="8" t="s">
        <v>99</v>
      </c>
      <c r="E61" s="8" t="s">
        <v>499</v>
      </c>
      <c r="F61" s="8" t="s">
        <v>1086</v>
      </c>
      <c r="G61" s="8" t="s">
        <v>1087</v>
      </c>
      <c r="H61" s="8" t="s">
        <v>1114</v>
      </c>
      <c r="I61" s="8" t="s">
        <v>1115</v>
      </c>
      <c r="J61" s="9">
        <v>1996.0</v>
      </c>
      <c r="K61" s="9">
        <v>1995.0</v>
      </c>
      <c r="L61" s="8" t="s">
        <v>105</v>
      </c>
      <c r="M61" s="8"/>
      <c r="N61" s="8"/>
      <c r="O61" s="9">
        <v>2.247E8</v>
      </c>
      <c r="P61" s="8" t="s">
        <v>108</v>
      </c>
      <c r="Q61" s="12">
        <f t="shared" si="1"/>
        <v>22470</v>
      </c>
      <c r="R61" s="7" t="str">
        <f t="shared" si="2"/>
        <v>3,000万〜</v>
      </c>
      <c r="S61" s="8" t="s">
        <v>1116</v>
      </c>
      <c r="T61" s="9"/>
      <c r="U61" s="9">
        <v>30.0</v>
      </c>
      <c r="V61" s="7" t="str">
        <f t="shared" si="3"/>
        <v>25ヶ月〜</v>
      </c>
      <c r="W61" s="8" t="s">
        <v>1117</v>
      </c>
      <c r="X61" s="8" t="s">
        <v>1118</v>
      </c>
      <c r="Y61" s="8" t="s">
        <v>1119</v>
      </c>
      <c r="Z61" s="8" t="s">
        <v>1120</v>
      </c>
      <c r="AA61" s="8" t="s">
        <v>1121</v>
      </c>
      <c r="AB61" s="8" t="s">
        <v>125</v>
      </c>
      <c r="AC61" s="8" t="s">
        <v>126</v>
      </c>
      <c r="AD61" s="8"/>
      <c r="AE61" s="8" t="s">
        <v>1021</v>
      </c>
      <c r="AF61" s="8" t="s">
        <v>182</v>
      </c>
      <c r="AG61" s="8" t="s">
        <v>95</v>
      </c>
      <c r="AH61" s="7" t="str">
        <f t="shared" si="4"/>
        <v/>
      </c>
      <c r="AI61" s="7"/>
      <c r="AJ61" s="13" t="s">
        <v>134</v>
      </c>
      <c r="AK61" s="13"/>
      <c r="AL61" s="13"/>
      <c r="AM61" s="14" t="s">
        <v>96</v>
      </c>
      <c r="AN61" s="7" t="s">
        <v>457</v>
      </c>
      <c r="AO61" s="7" t="s">
        <v>1124</v>
      </c>
    </row>
    <row r="62" ht="15.75" customHeight="1">
      <c r="A62" s="7">
        <v>61.0</v>
      </c>
      <c r="B62" s="7" t="s">
        <v>1125</v>
      </c>
      <c r="C62" s="7" t="s">
        <v>474</v>
      </c>
      <c r="D62" s="8" t="s">
        <v>99</v>
      </c>
      <c r="E62" s="8" t="s">
        <v>499</v>
      </c>
      <c r="F62" s="8" t="s">
        <v>1126</v>
      </c>
      <c r="G62" s="8" t="s">
        <v>1127</v>
      </c>
      <c r="H62" s="8" t="s">
        <v>1128</v>
      </c>
      <c r="I62" s="8" t="s">
        <v>1129</v>
      </c>
      <c r="J62" s="9">
        <v>1996.0</v>
      </c>
      <c r="K62" s="9">
        <v>1995.0</v>
      </c>
      <c r="L62" s="8" t="s">
        <v>105</v>
      </c>
      <c r="M62" s="8"/>
      <c r="N62" s="8" t="s">
        <v>1130</v>
      </c>
      <c r="O62" s="9">
        <v>1.453E8</v>
      </c>
      <c r="P62" s="8" t="s">
        <v>108</v>
      </c>
      <c r="Q62" s="12">
        <f t="shared" si="1"/>
        <v>14530</v>
      </c>
      <c r="R62" s="7" t="str">
        <f t="shared" si="2"/>
        <v>3,000万〜</v>
      </c>
      <c r="S62" s="8" t="s">
        <v>1131</v>
      </c>
      <c r="T62" s="9"/>
      <c r="U62" s="9">
        <v>42.0</v>
      </c>
      <c r="V62" s="7" t="str">
        <f t="shared" si="3"/>
        <v>25ヶ月〜</v>
      </c>
      <c r="W62" s="8" t="s">
        <v>1132</v>
      </c>
      <c r="X62" s="8" t="s">
        <v>1133</v>
      </c>
      <c r="Y62" s="8" t="s">
        <v>1134</v>
      </c>
      <c r="Z62" s="8" t="s">
        <v>1108</v>
      </c>
      <c r="AA62" s="8" t="s">
        <v>1135</v>
      </c>
      <c r="AB62" s="8" t="s">
        <v>125</v>
      </c>
      <c r="AC62" s="8" t="s">
        <v>126</v>
      </c>
      <c r="AD62" s="8"/>
      <c r="AE62" s="8" t="s">
        <v>899</v>
      </c>
      <c r="AF62" s="8" t="s">
        <v>182</v>
      </c>
      <c r="AG62" s="8" t="s">
        <v>95</v>
      </c>
      <c r="AH62" s="7" t="str">
        <f t="shared" si="4"/>
        <v/>
      </c>
      <c r="AI62" s="7"/>
      <c r="AJ62" s="13" t="s">
        <v>134</v>
      </c>
      <c r="AK62" s="13"/>
      <c r="AL62" s="13"/>
      <c r="AM62" s="14" t="s">
        <v>96</v>
      </c>
      <c r="AN62" s="7" t="s">
        <v>475</v>
      </c>
      <c r="AO62" s="7" t="s">
        <v>1138</v>
      </c>
    </row>
    <row r="63" ht="15.75" customHeight="1">
      <c r="A63" s="7">
        <v>62.0</v>
      </c>
      <c r="B63" s="7" t="s">
        <v>1139</v>
      </c>
      <c r="C63" s="7" t="s">
        <v>480</v>
      </c>
      <c r="D63" s="8" t="s">
        <v>99</v>
      </c>
      <c r="E63" s="8" t="s">
        <v>499</v>
      </c>
      <c r="F63" s="8" t="s">
        <v>1140</v>
      </c>
      <c r="G63" s="8" t="s">
        <v>1141</v>
      </c>
      <c r="H63" s="8" t="s">
        <v>1142</v>
      </c>
      <c r="I63" s="8" t="s">
        <v>1143</v>
      </c>
      <c r="J63" s="9">
        <v>1996.0</v>
      </c>
      <c r="K63" s="9">
        <v>1995.0</v>
      </c>
      <c r="L63" s="8" t="s">
        <v>105</v>
      </c>
      <c r="M63" s="8"/>
      <c r="N63" s="8"/>
      <c r="O63" s="9">
        <v>1.36E7</v>
      </c>
      <c r="P63" s="8" t="s">
        <v>108</v>
      </c>
      <c r="Q63" s="12">
        <f t="shared" si="1"/>
        <v>1360</v>
      </c>
      <c r="R63" s="7" t="str">
        <f t="shared" si="2"/>
        <v>1,000〜3,000万</v>
      </c>
      <c r="S63" s="8" t="s">
        <v>1144</v>
      </c>
      <c r="T63" s="9"/>
      <c r="U63" s="9">
        <v>9.0</v>
      </c>
      <c r="V63" s="7" t="str">
        <f t="shared" si="3"/>
        <v>7〜12ヶ月</v>
      </c>
      <c r="W63" s="8" t="s">
        <v>1145</v>
      </c>
      <c r="X63" s="8" t="s">
        <v>1147</v>
      </c>
      <c r="Y63" s="8" t="s">
        <v>1148</v>
      </c>
      <c r="Z63" s="8" t="s">
        <v>894</v>
      </c>
      <c r="AA63" s="8" t="s">
        <v>1149</v>
      </c>
      <c r="AB63" s="8" t="s">
        <v>125</v>
      </c>
      <c r="AC63" s="8" t="s">
        <v>126</v>
      </c>
      <c r="AD63" s="8"/>
      <c r="AE63" s="8" t="s">
        <v>899</v>
      </c>
      <c r="AF63" s="8" t="s">
        <v>128</v>
      </c>
      <c r="AG63" s="8"/>
      <c r="AH63" s="7" t="str">
        <f t="shared" si="4"/>
        <v/>
      </c>
      <c r="AI63" s="7"/>
      <c r="AJ63" s="13" t="s">
        <v>134</v>
      </c>
      <c r="AK63" s="13"/>
      <c r="AL63" s="13"/>
      <c r="AM63" s="14" t="s">
        <v>96</v>
      </c>
      <c r="AN63" s="7" t="s">
        <v>1151</v>
      </c>
      <c r="AO63" s="7" t="s">
        <v>1153</v>
      </c>
    </row>
    <row r="64" ht="15.75" customHeight="1">
      <c r="A64" s="7">
        <v>63.0</v>
      </c>
      <c r="B64" s="7" t="s">
        <v>1139</v>
      </c>
      <c r="C64" s="7" t="s">
        <v>480</v>
      </c>
      <c r="D64" s="8" t="s">
        <v>240</v>
      </c>
      <c r="E64" s="8" t="s">
        <v>499</v>
      </c>
      <c r="F64" s="8" t="s">
        <v>1154</v>
      </c>
      <c r="G64" s="8" t="s">
        <v>1155</v>
      </c>
      <c r="H64" s="8" t="s">
        <v>1156</v>
      </c>
      <c r="I64" s="8" t="s">
        <v>1143</v>
      </c>
      <c r="J64" s="9">
        <v>1996.0</v>
      </c>
      <c r="K64" s="9">
        <v>1995.0</v>
      </c>
      <c r="L64" s="8" t="s">
        <v>105</v>
      </c>
      <c r="M64" s="8"/>
      <c r="N64" s="8"/>
      <c r="O64" s="9">
        <v>3.92E7</v>
      </c>
      <c r="P64" s="8" t="s">
        <v>108</v>
      </c>
      <c r="Q64" s="12">
        <f t="shared" si="1"/>
        <v>3920</v>
      </c>
      <c r="R64" s="7" t="str">
        <f t="shared" si="2"/>
        <v>3,000万〜</v>
      </c>
      <c r="S64" s="8" t="s">
        <v>1157</v>
      </c>
      <c r="T64" s="9"/>
      <c r="U64" s="9">
        <v>24.0</v>
      </c>
      <c r="V64" s="7" t="str">
        <f t="shared" si="3"/>
        <v>13〜24ヶ月</v>
      </c>
      <c r="W64" s="8" t="s">
        <v>1158</v>
      </c>
      <c r="X64" s="8" t="s">
        <v>1159</v>
      </c>
      <c r="Y64" s="8" t="s">
        <v>1161</v>
      </c>
      <c r="Z64" s="8" t="s">
        <v>894</v>
      </c>
      <c r="AA64" s="8" t="s">
        <v>1162</v>
      </c>
      <c r="AB64" s="8" t="s">
        <v>125</v>
      </c>
      <c r="AC64" s="8" t="s">
        <v>126</v>
      </c>
      <c r="AD64" s="8"/>
      <c r="AE64" s="8" t="s">
        <v>1163</v>
      </c>
      <c r="AF64" s="8" t="s">
        <v>128</v>
      </c>
      <c r="AG64" s="8" t="s">
        <v>95</v>
      </c>
      <c r="AH64" s="7" t="str">
        <f t="shared" si="4"/>
        <v/>
      </c>
      <c r="AI64" s="7"/>
      <c r="AJ64" s="13" t="s">
        <v>134</v>
      </c>
      <c r="AK64" s="13"/>
      <c r="AL64" s="13"/>
      <c r="AM64" s="14" t="s">
        <v>96</v>
      </c>
      <c r="AN64" s="7" t="s">
        <v>482</v>
      </c>
      <c r="AO64" s="7" t="s">
        <v>1165</v>
      </c>
    </row>
    <row r="65" ht="15.75" customHeight="1">
      <c r="A65" s="7">
        <v>64.0</v>
      </c>
      <c r="B65" s="7" t="s">
        <v>1139</v>
      </c>
      <c r="C65" s="7" t="s">
        <v>480</v>
      </c>
      <c r="D65" s="8" t="s">
        <v>240</v>
      </c>
      <c r="E65" s="8" t="s">
        <v>499</v>
      </c>
      <c r="F65" s="8" t="s">
        <v>1166</v>
      </c>
      <c r="G65" s="8" t="s">
        <v>1167</v>
      </c>
      <c r="H65" s="8" t="s">
        <v>1168</v>
      </c>
      <c r="I65" s="8" t="s">
        <v>1143</v>
      </c>
      <c r="J65" s="9">
        <v>1996.0</v>
      </c>
      <c r="K65" s="9">
        <v>1995.0</v>
      </c>
      <c r="L65" s="8" t="s">
        <v>105</v>
      </c>
      <c r="M65" s="8"/>
      <c r="N65" s="8" t="s">
        <v>1169</v>
      </c>
      <c r="O65" s="9">
        <v>8.0798E9</v>
      </c>
      <c r="P65" s="8" t="s">
        <v>108</v>
      </c>
      <c r="Q65" s="12">
        <f t="shared" si="1"/>
        <v>807980</v>
      </c>
      <c r="R65" s="7" t="str">
        <f t="shared" si="2"/>
        <v>3,000万〜</v>
      </c>
      <c r="S65" s="8" t="s">
        <v>1171</v>
      </c>
      <c r="T65" s="9"/>
      <c r="U65" s="9">
        <v>6.0</v>
      </c>
      <c r="V65" s="7" t="str">
        <f t="shared" si="3"/>
        <v>〜6ヶ月</v>
      </c>
      <c r="W65" s="8" t="s">
        <v>1172</v>
      </c>
      <c r="X65" s="8" t="s">
        <v>1173</v>
      </c>
      <c r="Y65" s="8" t="s">
        <v>1174</v>
      </c>
      <c r="Z65" s="8" t="s">
        <v>1175</v>
      </c>
      <c r="AA65" s="8" t="s">
        <v>1176</v>
      </c>
      <c r="AB65" s="8" t="s">
        <v>125</v>
      </c>
      <c r="AC65" s="8" t="s">
        <v>126</v>
      </c>
      <c r="AD65" s="8"/>
      <c r="AE65" s="8" t="s">
        <v>1177</v>
      </c>
      <c r="AF65" s="8" t="s">
        <v>182</v>
      </c>
      <c r="AG65" s="8" t="s">
        <v>413</v>
      </c>
      <c r="AH65" s="7" t="str">
        <f t="shared" si="4"/>
        <v/>
      </c>
      <c r="AI65" s="7"/>
      <c r="AJ65" s="13" t="s">
        <v>134</v>
      </c>
      <c r="AK65" s="13"/>
      <c r="AL65" s="13"/>
      <c r="AM65" s="14" t="s">
        <v>96</v>
      </c>
      <c r="AN65" s="7" t="s">
        <v>501</v>
      </c>
      <c r="AO65" s="7" t="s">
        <v>1179</v>
      </c>
    </row>
    <row r="66" ht="15.75" customHeight="1">
      <c r="A66" s="7">
        <v>65.0</v>
      </c>
      <c r="B66" s="7" t="s">
        <v>1180</v>
      </c>
      <c r="C66" s="7" t="s">
        <v>506</v>
      </c>
      <c r="D66" s="8" t="s">
        <v>99</v>
      </c>
      <c r="E66" s="8" t="s">
        <v>499</v>
      </c>
      <c r="F66" s="8" t="s">
        <v>1028</v>
      </c>
      <c r="G66" s="8" t="s">
        <v>1029</v>
      </c>
      <c r="H66" s="8" t="s">
        <v>1181</v>
      </c>
      <c r="I66" s="8" t="s">
        <v>1183</v>
      </c>
      <c r="J66" s="9">
        <v>1996.0</v>
      </c>
      <c r="K66" s="9">
        <v>1995.0</v>
      </c>
      <c r="L66" s="8" t="s">
        <v>105</v>
      </c>
      <c r="M66" s="8"/>
      <c r="N66" s="8"/>
      <c r="O66" s="9">
        <v>4500000.0</v>
      </c>
      <c r="P66" s="8" t="s">
        <v>108</v>
      </c>
      <c r="Q66" s="12">
        <f t="shared" si="1"/>
        <v>450</v>
      </c>
      <c r="R66" s="7" t="str">
        <f t="shared" si="2"/>
        <v>〜500万</v>
      </c>
      <c r="S66" s="8" t="s">
        <v>1184</v>
      </c>
      <c r="T66" s="9"/>
      <c r="U66" s="9">
        <v>5.0</v>
      </c>
      <c r="V66" s="7" t="str">
        <f t="shared" si="3"/>
        <v>〜6ヶ月</v>
      </c>
      <c r="W66" s="8" t="s">
        <v>1185</v>
      </c>
      <c r="X66" s="8" t="s">
        <v>1186</v>
      </c>
      <c r="Y66" s="8" t="s">
        <v>1187</v>
      </c>
      <c r="Z66" s="8" t="s">
        <v>894</v>
      </c>
      <c r="AA66" s="8" t="s">
        <v>1188</v>
      </c>
      <c r="AB66" s="8" t="s">
        <v>125</v>
      </c>
      <c r="AC66" s="8" t="s">
        <v>126</v>
      </c>
      <c r="AD66" s="8"/>
      <c r="AE66" s="8" t="s">
        <v>899</v>
      </c>
      <c r="AF66" s="8" t="s">
        <v>128</v>
      </c>
      <c r="AG66" s="8" t="s">
        <v>95</v>
      </c>
      <c r="AH66" s="7" t="str">
        <f t="shared" si="4"/>
        <v/>
      </c>
      <c r="AI66" s="7"/>
      <c r="AJ66" s="13" t="s">
        <v>134</v>
      </c>
      <c r="AK66" s="13"/>
      <c r="AL66" s="13"/>
      <c r="AM66" s="14" t="s">
        <v>96</v>
      </c>
      <c r="AN66" s="7" t="s">
        <v>507</v>
      </c>
      <c r="AO66" s="7" t="s">
        <v>1190</v>
      </c>
    </row>
    <row r="67" ht="15.75" customHeight="1">
      <c r="A67" s="7">
        <v>66.0</v>
      </c>
      <c r="B67" s="7" t="s">
        <v>1180</v>
      </c>
      <c r="C67" s="7" t="s">
        <v>506</v>
      </c>
      <c r="D67" s="8" t="s">
        <v>240</v>
      </c>
      <c r="E67" s="8" t="s">
        <v>499</v>
      </c>
      <c r="F67" s="8" t="s">
        <v>1154</v>
      </c>
      <c r="G67" s="8" t="s">
        <v>1155</v>
      </c>
      <c r="H67" s="8" t="s">
        <v>1191</v>
      </c>
      <c r="I67" s="8" t="s">
        <v>1183</v>
      </c>
      <c r="J67" s="9">
        <v>1996.0</v>
      </c>
      <c r="K67" s="9">
        <v>1995.0</v>
      </c>
      <c r="L67" s="8" t="s">
        <v>105</v>
      </c>
      <c r="M67" s="8"/>
      <c r="N67" s="8"/>
      <c r="O67" s="9">
        <v>6.5893E9</v>
      </c>
      <c r="P67" s="8" t="s">
        <v>108</v>
      </c>
      <c r="Q67" s="12">
        <f t="shared" si="1"/>
        <v>658930</v>
      </c>
      <c r="R67" s="7" t="str">
        <f t="shared" si="2"/>
        <v>3,000万〜</v>
      </c>
      <c r="S67" s="8" t="s">
        <v>1193</v>
      </c>
      <c r="T67" s="9"/>
      <c r="U67" s="9">
        <v>5.0</v>
      </c>
      <c r="V67" s="7" t="str">
        <f t="shared" si="3"/>
        <v>〜6ヶ月</v>
      </c>
      <c r="W67" s="8" t="s">
        <v>1194</v>
      </c>
      <c r="X67" s="8" t="s">
        <v>1195</v>
      </c>
      <c r="Y67" s="8" t="s">
        <v>1196</v>
      </c>
      <c r="Z67" s="8" t="s">
        <v>1197</v>
      </c>
      <c r="AA67" s="8" t="s">
        <v>1198</v>
      </c>
      <c r="AB67" s="8" t="s">
        <v>125</v>
      </c>
      <c r="AC67" s="8" t="s">
        <v>126</v>
      </c>
      <c r="AD67" s="8"/>
      <c r="AE67" s="8" t="s">
        <v>1200</v>
      </c>
      <c r="AF67" s="8" t="s">
        <v>182</v>
      </c>
      <c r="AG67" s="8" t="s">
        <v>185</v>
      </c>
      <c r="AH67" s="7" t="str">
        <f t="shared" si="4"/>
        <v/>
      </c>
      <c r="AI67" s="7"/>
      <c r="AJ67" s="13" t="s">
        <v>134</v>
      </c>
      <c r="AK67" s="13"/>
      <c r="AL67" s="13"/>
      <c r="AM67" s="14" t="s">
        <v>96</v>
      </c>
      <c r="AN67" s="7" t="s">
        <v>509</v>
      </c>
      <c r="AO67" s="7" t="s">
        <v>1203</v>
      </c>
    </row>
    <row r="68" ht="15.75" customHeight="1">
      <c r="A68" s="7">
        <v>67.0</v>
      </c>
      <c r="B68" s="7" t="s">
        <v>1204</v>
      </c>
      <c r="C68" s="7" t="s">
        <v>528</v>
      </c>
      <c r="D68" s="8" t="s">
        <v>99</v>
      </c>
      <c r="E68" s="8" t="s">
        <v>499</v>
      </c>
      <c r="F68" s="8" t="s">
        <v>1028</v>
      </c>
      <c r="G68" s="8" t="s">
        <v>1029</v>
      </c>
      <c r="H68" s="8" t="s">
        <v>1205</v>
      </c>
      <c r="I68" s="8" t="s">
        <v>1206</v>
      </c>
      <c r="J68" s="9">
        <v>1996.0</v>
      </c>
      <c r="K68" s="9">
        <v>1995.0</v>
      </c>
      <c r="L68" s="8" t="s">
        <v>105</v>
      </c>
      <c r="M68" s="8"/>
      <c r="N68" s="8" t="s">
        <v>1207</v>
      </c>
      <c r="O68" s="9">
        <v>4.35E7</v>
      </c>
      <c r="P68" s="8" t="s">
        <v>108</v>
      </c>
      <c r="Q68" s="12">
        <f t="shared" si="1"/>
        <v>4350</v>
      </c>
      <c r="R68" s="7" t="str">
        <f t="shared" si="2"/>
        <v>3,000万〜</v>
      </c>
      <c r="S68" s="8" t="s">
        <v>1209</v>
      </c>
      <c r="T68" s="9"/>
      <c r="U68" s="9">
        <v>14.0</v>
      </c>
      <c r="V68" s="7" t="str">
        <f t="shared" si="3"/>
        <v>13〜24ヶ月</v>
      </c>
      <c r="W68" s="8" t="s">
        <v>1210</v>
      </c>
      <c r="X68" s="8" t="s">
        <v>1211</v>
      </c>
      <c r="Y68" s="8" t="s">
        <v>1212</v>
      </c>
      <c r="Z68" s="8" t="s">
        <v>1108</v>
      </c>
      <c r="AA68" s="8" t="s">
        <v>1213</v>
      </c>
      <c r="AB68" s="8" t="s">
        <v>125</v>
      </c>
      <c r="AC68" s="8" t="s">
        <v>126</v>
      </c>
      <c r="AD68" s="8"/>
      <c r="AE68" s="8" t="s">
        <v>899</v>
      </c>
      <c r="AF68" s="8" t="s">
        <v>182</v>
      </c>
      <c r="AG68" s="8" t="s">
        <v>413</v>
      </c>
      <c r="AH68" s="7" t="str">
        <f t="shared" si="4"/>
        <v/>
      </c>
      <c r="AI68" s="7"/>
      <c r="AJ68" s="13" t="s">
        <v>134</v>
      </c>
      <c r="AK68" s="13"/>
      <c r="AL68" s="13"/>
      <c r="AM68" s="14" t="s">
        <v>96</v>
      </c>
      <c r="AN68" s="7" t="s">
        <v>529</v>
      </c>
      <c r="AO68" s="7" t="s">
        <v>1216</v>
      </c>
    </row>
    <row r="69" ht="15.75" customHeight="1">
      <c r="A69" s="7">
        <v>68.0</v>
      </c>
      <c r="B69" s="7" t="s">
        <v>1217</v>
      </c>
      <c r="C69" s="7" t="s">
        <v>536</v>
      </c>
      <c r="D69" s="8" t="s">
        <v>99</v>
      </c>
      <c r="E69" s="8" t="s">
        <v>499</v>
      </c>
      <c r="F69" s="8" t="s">
        <v>1218</v>
      </c>
      <c r="G69" s="8" t="s">
        <v>1219</v>
      </c>
      <c r="H69" s="8" t="s">
        <v>1220</v>
      </c>
      <c r="I69" s="8" t="s">
        <v>1221</v>
      </c>
      <c r="J69" s="9">
        <v>1996.0</v>
      </c>
      <c r="K69" s="9">
        <v>1995.0</v>
      </c>
      <c r="L69" s="8" t="s">
        <v>105</v>
      </c>
      <c r="M69" s="8"/>
      <c r="N69" s="8" t="s">
        <v>1222</v>
      </c>
      <c r="O69" s="9">
        <v>7.04E7</v>
      </c>
      <c r="P69" s="8" t="s">
        <v>108</v>
      </c>
      <c r="Q69" s="12">
        <f t="shared" si="1"/>
        <v>7040</v>
      </c>
      <c r="R69" s="7" t="str">
        <f t="shared" si="2"/>
        <v>3,000万〜</v>
      </c>
      <c r="S69" s="8" t="s">
        <v>1223</v>
      </c>
      <c r="T69" s="9"/>
      <c r="U69" s="9">
        <v>24.0</v>
      </c>
      <c r="V69" s="7" t="str">
        <f t="shared" si="3"/>
        <v>13〜24ヶ月</v>
      </c>
      <c r="W69" s="8" t="s">
        <v>1225</v>
      </c>
      <c r="X69" s="8" t="s">
        <v>1227</v>
      </c>
      <c r="Y69" s="8" t="s">
        <v>1228</v>
      </c>
      <c r="Z69" s="8" t="s">
        <v>1229</v>
      </c>
      <c r="AA69" s="8" t="s">
        <v>1230</v>
      </c>
      <c r="AB69" s="8" t="s">
        <v>125</v>
      </c>
      <c r="AC69" s="8" t="s">
        <v>126</v>
      </c>
      <c r="AD69" s="8"/>
      <c r="AE69" s="8" t="s">
        <v>1231</v>
      </c>
      <c r="AF69" s="8" t="s">
        <v>182</v>
      </c>
      <c r="AG69" s="8" t="s">
        <v>413</v>
      </c>
      <c r="AH69" s="7" t="str">
        <f t="shared" si="4"/>
        <v/>
      </c>
      <c r="AI69" s="7"/>
      <c r="AJ69" s="13" t="s">
        <v>134</v>
      </c>
      <c r="AK69" s="13"/>
      <c r="AL69" s="13"/>
      <c r="AM69" s="14" t="s">
        <v>96</v>
      </c>
      <c r="AN69" s="7" t="s">
        <v>537</v>
      </c>
      <c r="AO69" s="7" t="s">
        <v>1233</v>
      </c>
    </row>
    <row r="70" ht="15.75" customHeight="1">
      <c r="A70" s="7">
        <v>69.0</v>
      </c>
      <c r="B70" s="7" t="s">
        <v>1234</v>
      </c>
      <c r="C70" s="7" t="s">
        <v>549</v>
      </c>
      <c r="D70" s="8" t="s">
        <v>99</v>
      </c>
      <c r="E70" s="8" t="s">
        <v>499</v>
      </c>
      <c r="F70" s="8" t="s">
        <v>1218</v>
      </c>
      <c r="G70" s="8" t="s">
        <v>1219</v>
      </c>
      <c r="H70" s="8" t="s">
        <v>1235</v>
      </c>
      <c r="I70" s="8" t="s">
        <v>1236</v>
      </c>
      <c r="J70" s="9">
        <v>1996.0</v>
      </c>
      <c r="K70" s="9">
        <v>1995.0</v>
      </c>
      <c r="L70" s="8" t="s">
        <v>105</v>
      </c>
      <c r="M70" s="8" t="s">
        <v>1237</v>
      </c>
      <c r="N70" s="8" t="s">
        <v>1238</v>
      </c>
      <c r="O70" s="9">
        <v>1.1725E9</v>
      </c>
      <c r="P70" s="8" t="s">
        <v>108</v>
      </c>
      <c r="Q70" s="12">
        <f t="shared" si="1"/>
        <v>117250</v>
      </c>
      <c r="R70" s="7" t="str">
        <f t="shared" si="2"/>
        <v>3,000万〜</v>
      </c>
      <c r="S70" s="8" t="s">
        <v>1240</v>
      </c>
      <c r="T70" s="9"/>
      <c r="U70" s="9">
        <v>24.0</v>
      </c>
      <c r="V70" s="7" t="str">
        <f t="shared" si="3"/>
        <v>13〜24ヶ月</v>
      </c>
      <c r="W70" s="8" t="s">
        <v>1241</v>
      </c>
      <c r="X70" s="8" t="s">
        <v>1242</v>
      </c>
      <c r="Y70" s="8" t="s">
        <v>1243</v>
      </c>
      <c r="Z70" s="8" t="s">
        <v>1244</v>
      </c>
      <c r="AA70" s="8" t="s">
        <v>1245</v>
      </c>
      <c r="AB70" s="8" t="s">
        <v>125</v>
      </c>
      <c r="AC70" s="8" t="s">
        <v>126</v>
      </c>
      <c r="AD70" s="8"/>
      <c r="AE70" s="8" t="s">
        <v>1246</v>
      </c>
      <c r="AF70" s="8" t="s">
        <v>182</v>
      </c>
      <c r="AG70" s="8" t="s">
        <v>413</v>
      </c>
      <c r="AH70" s="7" t="str">
        <f t="shared" si="4"/>
        <v/>
      </c>
      <c r="AI70" s="7"/>
      <c r="AJ70" s="13" t="s">
        <v>134</v>
      </c>
      <c r="AK70" s="13"/>
      <c r="AL70" s="13"/>
      <c r="AM70" s="14" t="s">
        <v>96</v>
      </c>
      <c r="AN70" s="7" t="s">
        <v>550</v>
      </c>
      <c r="AO70" s="7" t="s">
        <v>1251</v>
      </c>
    </row>
    <row r="71" ht="15.75" customHeight="1">
      <c r="A71" s="7">
        <v>70.0</v>
      </c>
      <c r="B71" s="7" t="s">
        <v>1252</v>
      </c>
      <c r="C71" s="7" t="s">
        <v>570</v>
      </c>
      <c r="D71" s="8" t="s">
        <v>99</v>
      </c>
      <c r="E71" s="8" t="s">
        <v>499</v>
      </c>
      <c r="F71" s="8" t="s">
        <v>1253</v>
      </c>
      <c r="G71" s="8" t="s">
        <v>1219</v>
      </c>
      <c r="H71" s="8" t="s">
        <v>1254</v>
      </c>
      <c r="I71" s="8" t="s">
        <v>1255</v>
      </c>
      <c r="J71" s="9">
        <v>1996.0</v>
      </c>
      <c r="K71" s="9">
        <v>1995.0</v>
      </c>
      <c r="L71" s="8" t="s">
        <v>105</v>
      </c>
      <c r="M71" s="8" t="s">
        <v>1256</v>
      </c>
      <c r="N71" s="8" t="s">
        <v>1257</v>
      </c>
      <c r="O71" s="9">
        <v>5.02E7</v>
      </c>
      <c r="P71" s="8" t="s">
        <v>108</v>
      </c>
      <c r="Q71" s="12">
        <f t="shared" si="1"/>
        <v>5020</v>
      </c>
      <c r="R71" s="7" t="str">
        <f t="shared" si="2"/>
        <v>3,000万〜</v>
      </c>
      <c r="S71" s="8" t="s">
        <v>1258</v>
      </c>
      <c r="T71" s="9"/>
      <c r="U71" s="9">
        <v>15.0</v>
      </c>
      <c r="V71" s="7" t="str">
        <f t="shared" si="3"/>
        <v>13〜24ヶ月</v>
      </c>
      <c r="W71" s="8" t="s">
        <v>1259</v>
      </c>
      <c r="X71" s="8" t="s">
        <v>1260</v>
      </c>
      <c r="Y71" s="8" t="s">
        <v>1262</v>
      </c>
      <c r="Z71" s="8" t="s">
        <v>1263</v>
      </c>
      <c r="AA71" s="8" t="s">
        <v>1265</v>
      </c>
      <c r="AB71" s="8" t="s">
        <v>125</v>
      </c>
      <c r="AC71" s="8" t="s">
        <v>126</v>
      </c>
      <c r="AD71" s="8"/>
      <c r="AE71" s="8" t="s">
        <v>899</v>
      </c>
      <c r="AF71" s="8" t="s">
        <v>182</v>
      </c>
      <c r="AG71" s="8" t="s">
        <v>413</v>
      </c>
      <c r="AH71" s="7" t="str">
        <f t="shared" si="4"/>
        <v/>
      </c>
      <c r="AI71" s="7"/>
      <c r="AJ71" s="13" t="s">
        <v>134</v>
      </c>
      <c r="AK71" s="13"/>
      <c r="AL71" s="13"/>
      <c r="AM71" s="14" t="s">
        <v>96</v>
      </c>
      <c r="AN71" s="7" t="s">
        <v>571</v>
      </c>
      <c r="AO71" s="7" t="s">
        <v>1268</v>
      </c>
    </row>
    <row r="72" ht="15.75" customHeight="1">
      <c r="A72" s="7">
        <v>71.0</v>
      </c>
      <c r="B72" s="7" t="s">
        <v>1269</v>
      </c>
      <c r="C72" s="7" t="s">
        <v>580</v>
      </c>
      <c r="D72" s="8" t="s">
        <v>99</v>
      </c>
      <c r="E72" s="8" t="s">
        <v>499</v>
      </c>
      <c r="F72" s="8" t="s">
        <v>1270</v>
      </c>
      <c r="G72" s="8" t="s">
        <v>1086</v>
      </c>
      <c r="H72" s="8" t="s">
        <v>1271</v>
      </c>
      <c r="I72" s="8" t="s">
        <v>1272</v>
      </c>
      <c r="J72" s="9">
        <v>1996.0</v>
      </c>
      <c r="K72" s="9">
        <v>1995.0</v>
      </c>
      <c r="L72" s="8" t="s">
        <v>105</v>
      </c>
      <c r="M72" s="8" t="s">
        <v>1273</v>
      </c>
      <c r="N72" s="8" t="s">
        <v>1274</v>
      </c>
      <c r="O72" s="9">
        <v>2.08E8</v>
      </c>
      <c r="P72" s="8" t="s">
        <v>108</v>
      </c>
      <c r="Q72" s="12">
        <f t="shared" si="1"/>
        <v>20800</v>
      </c>
      <c r="R72" s="7" t="str">
        <f t="shared" si="2"/>
        <v>3,000万〜</v>
      </c>
      <c r="S72" s="8" t="s">
        <v>1277</v>
      </c>
      <c r="T72" s="9"/>
      <c r="U72" s="9">
        <v>44.0</v>
      </c>
      <c r="V72" s="7" t="str">
        <f t="shared" si="3"/>
        <v>25ヶ月〜</v>
      </c>
      <c r="W72" s="8" t="s">
        <v>1278</v>
      </c>
      <c r="X72" s="8" t="s">
        <v>1279</v>
      </c>
      <c r="Y72" s="8" t="s">
        <v>1280</v>
      </c>
      <c r="Z72" s="8" t="s">
        <v>1281</v>
      </c>
      <c r="AA72" s="8" t="s">
        <v>1282</v>
      </c>
      <c r="AB72" s="8" t="s">
        <v>125</v>
      </c>
      <c r="AC72" s="8" t="s">
        <v>126</v>
      </c>
      <c r="AD72" s="8"/>
      <c r="AE72" s="8" t="s">
        <v>899</v>
      </c>
      <c r="AF72" s="8" t="s">
        <v>182</v>
      </c>
      <c r="AG72" s="8" t="s">
        <v>95</v>
      </c>
      <c r="AH72" s="7" t="str">
        <f t="shared" si="4"/>
        <v/>
      </c>
      <c r="AI72" s="7"/>
      <c r="AJ72" s="13" t="s">
        <v>134</v>
      </c>
      <c r="AK72" s="13"/>
      <c r="AL72" s="13"/>
      <c r="AM72" s="14" t="s">
        <v>96</v>
      </c>
      <c r="AN72" s="7" t="s">
        <v>581</v>
      </c>
      <c r="AO72" s="7" t="s">
        <v>1285</v>
      </c>
    </row>
    <row r="73" ht="15.75" customHeight="1">
      <c r="A73" s="7">
        <v>72.0</v>
      </c>
      <c r="B73" s="7" t="s">
        <v>1286</v>
      </c>
      <c r="C73" s="7" t="s">
        <v>586</v>
      </c>
      <c r="D73" s="8" t="s">
        <v>99</v>
      </c>
      <c r="E73" s="8" t="s">
        <v>499</v>
      </c>
      <c r="F73" s="8" t="s">
        <v>1287</v>
      </c>
      <c r="G73" s="8" t="s">
        <v>1288</v>
      </c>
      <c r="H73" s="8" t="s">
        <v>1289</v>
      </c>
      <c r="I73" s="8" t="s">
        <v>1290</v>
      </c>
      <c r="J73" s="9">
        <v>1996.0</v>
      </c>
      <c r="K73" s="9">
        <v>1995.0</v>
      </c>
      <c r="L73" s="8" t="s">
        <v>105</v>
      </c>
      <c r="M73" s="8"/>
      <c r="N73" s="8"/>
      <c r="O73" s="9">
        <v>4.9903E9</v>
      </c>
      <c r="P73" s="8" t="s">
        <v>108</v>
      </c>
      <c r="Q73" s="12">
        <f t="shared" si="1"/>
        <v>499030</v>
      </c>
      <c r="R73" s="7" t="str">
        <f t="shared" si="2"/>
        <v>3,000万〜</v>
      </c>
      <c r="S73" s="8" t="s">
        <v>1291</v>
      </c>
      <c r="T73" s="9"/>
      <c r="U73" s="9">
        <v>36.0</v>
      </c>
      <c r="V73" s="7" t="str">
        <f t="shared" si="3"/>
        <v>25ヶ月〜</v>
      </c>
      <c r="W73" s="8" t="s">
        <v>1294</v>
      </c>
      <c r="X73" s="8" t="s">
        <v>1295</v>
      </c>
      <c r="Y73" s="8" t="s">
        <v>1296</v>
      </c>
      <c r="Z73" s="8" t="s">
        <v>1297</v>
      </c>
      <c r="AA73" s="8" t="s">
        <v>1298</v>
      </c>
      <c r="AB73" s="8" t="s">
        <v>125</v>
      </c>
      <c r="AC73" s="8" t="s">
        <v>126</v>
      </c>
      <c r="AD73" s="8"/>
      <c r="AE73" s="8" t="s">
        <v>1246</v>
      </c>
      <c r="AF73" s="8" t="s">
        <v>182</v>
      </c>
      <c r="AG73" s="8" t="s">
        <v>413</v>
      </c>
      <c r="AH73" s="7" t="str">
        <f t="shared" si="4"/>
        <v/>
      </c>
      <c r="AI73" s="7"/>
      <c r="AJ73" s="13" t="s">
        <v>134</v>
      </c>
      <c r="AK73" s="13"/>
      <c r="AL73" s="13"/>
      <c r="AM73" s="14" t="s">
        <v>96</v>
      </c>
      <c r="AN73" s="7" t="s">
        <v>587</v>
      </c>
      <c r="AO73" s="7" t="s">
        <v>1301</v>
      </c>
    </row>
    <row r="74" ht="15.75" customHeight="1">
      <c r="A74" s="7">
        <v>73.0</v>
      </c>
      <c r="B74" s="7" t="s">
        <v>1302</v>
      </c>
      <c r="C74" s="7" t="s">
        <v>596</v>
      </c>
      <c r="D74" s="8" t="s">
        <v>99</v>
      </c>
      <c r="E74" s="8" t="s">
        <v>499</v>
      </c>
      <c r="F74" s="8" t="s">
        <v>1270</v>
      </c>
      <c r="G74" s="8" t="s">
        <v>1086</v>
      </c>
      <c r="H74" s="8" t="s">
        <v>1303</v>
      </c>
      <c r="I74" s="8" t="s">
        <v>1304</v>
      </c>
      <c r="J74" s="9">
        <v>1996.0</v>
      </c>
      <c r="K74" s="9">
        <v>1995.0</v>
      </c>
      <c r="L74" s="8" t="s">
        <v>105</v>
      </c>
      <c r="M74" s="8" t="s">
        <v>1305</v>
      </c>
      <c r="N74" s="8"/>
      <c r="O74" s="9">
        <v>5.18E7</v>
      </c>
      <c r="P74" s="8" t="s">
        <v>108</v>
      </c>
      <c r="Q74" s="12">
        <f t="shared" si="1"/>
        <v>5180</v>
      </c>
      <c r="R74" s="7" t="str">
        <f t="shared" si="2"/>
        <v>3,000万〜</v>
      </c>
      <c r="S74" s="8" t="s">
        <v>1306</v>
      </c>
      <c r="T74" s="9"/>
      <c r="U74" s="9">
        <v>12.0</v>
      </c>
      <c r="V74" s="7" t="str">
        <f t="shared" si="3"/>
        <v>7〜12ヶ月</v>
      </c>
      <c r="W74" s="8" t="s">
        <v>1307</v>
      </c>
      <c r="X74" s="8" t="s">
        <v>1308</v>
      </c>
      <c r="Y74" s="8" t="s">
        <v>1309</v>
      </c>
      <c r="Z74" s="8" t="s">
        <v>1310</v>
      </c>
      <c r="AA74" s="8" t="s">
        <v>1312</v>
      </c>
      <c r="AB74" s="8" t="s">
        <v>125</v>
      </c>
      <c r="AC74" s="8" t="s">
        <v>126</v>
      </c>
      <c r="AD74" s="8"/>
      <c r="AE74" s="8" t="s">
        <v>899</v>
      </c>
      <c r="AF74" s="8" t="s">
        <v>182</v>
      </c>
      <c r="AG74" s="8" t="s">
        <v>185</v>
      </c>
      <c r="AH74" s="7" t="str">
        <f t="shared" si="4"/>
        <v/>
      </c>
      <c r="AI74" s="7"/>
      <c r="AJ74" s="13" t="s">
        <v>134</v>
      </c>
      <c r="AK74" s="13"/>
      <c r="AL74" s="13"/>
      <c r="AM74" s="14" t="s">
        <v>96</v>
      </c>
      <c r="AN74" s="7" t="s">
        <v>597</v>
      </c>
      <c r="AO74" s="7" t="s">
        <v>1314</v>
      </c>
    </row>
    <row r="75" ht="15.75" customHeight="1">
      <c r="A75" s="7">
        <v>74.0</v>
      </c>
      <c r="B75" s="7" t="s">
        <v>1315</v>
      </c>
      <c r="C75" s="7" t="s">
        <v>607</v>
      </c>
      <c r="D75" s="8" t="s">
        <v>99</v>
      </c>
      <c r="E75" s="8" t="s">
        <v>499</v>
      </c>
      <c r="F75" s="8" t="s">
        <v>1270</v>
      </c>
      <c r="G75" s="8" t="s">
        <v>1086</v>
      </c>
      <c r="H75" s="8" t="s">
        <v>1316</v>
      </c>
      <c r="I75" s="8" t="s">
        <v>1317</v>
      </c>
      <c r="J75" s="9">
        <v>1996.0</v>
      </c>
      <c r="K75" s="9">
        <v>1995.0</v>
      </c>
      <c r="L75" s="8" t="s">
        <v>105</v>
      </c>
      <c r="M75" s="8"/>
      <c r="N75" s="8"/>
      <c r="O75" s="9">
        <v>1.1E7</v>
      </c>
      <c r="P75" s="8" t="s">
        <v>108</v>
      </c>
      <c r="Q75" s="12">
        <f t="shared" si="1"/>
        <v>1100</v>
      </c>
      <c r="R75" s="7" t="str">
        <f t="shared" si="2"/>
        <v>1,000〜3,000万</v>
      </c>
      <c r="S75" s="8" t="s">
        <v>1319</v>
      </c>
      <c r="T75" s="9"/>
      <c r="U75" s="9">
        <v>12.0</v>
      </c>
      <c r="V75" s="7" t="str">
        <f t="shared" si="3"/>
        <v>7〜12ヶ月</v>
      </c>
      <c r="W75" s="8" t="s">
        <v>981</v>
      </c>
      <c r="X75" s="8" t="s">
        <v>1320</v>
      </c>
      <c r="Y75" s="8" t="s">
        <v>1321</v>
      </c>
      <c r="Z75" s="8" t="s">
        <v>894</v>
      </c>
      <c r="AA75" s="8" t="s">
        <v>1322</v>
      </c>
      <c r="AB75" s="8" t="s">
        <v>125</v>
      </c>
      <c r="AC75" s="8" t="s">
        <v>126</v>
      </c>
      <c r="AD75" s="8"/>
      <c r="AE75" s="8" t="s">
        <v>1323</v>
      </c>
      <c r="AF75" s="8" t="s">
        <v>128</v>
      </c>
      <c r="AG75" s="8"/>
      <c r="AH75" s="7" t="str">
        <f t="shared" si="4"/>
        <v/>
      </c>
      <c r="AI75" s="7" t="s">
        <v>1324</v>
      </c>
      <c r="AJ75" s="13" t="s">
        <v>134</v>
      </c>
      <c r="AK75" s="13"/>
      <c r="AL75" s="13"/>
      <c r="AM75" s="14" t="s">
        <v>96</v>
      </c>
      <c r="AN75" s="7" t="s">
        <v>608</v>
      </c>
      <c r="AO75" s="7" t="s">
        <v>1326</v>
      </c>
    </row>
    <row r="76" ht="15.75" customHeight="1">
      <c r="A76" s="7">
        <v>75.0</v>
      </c>
      <c r="B76" s="7" t="s">
        <v>1315</v>
      </c>
      <c r="C76" s="7" t="s">
        <v>607</v>
      </c>
      <c r="D76" s="8" t="s">
        <v>240</v>
      </c>
      <c r="E76" s="8" t="s">
        <v>499</v>
      </c>
      <c r="F76" s="8" t="s">
        <v>1327</v>
      </c>
      <c r="G76" s="8" t="s">
        <v>1328</v>
      </c>
      <c r="H76" s="8" t="s">
        <v>1330</v>
      </c>
      <c r="I76" s="8" t="s">
        <v>1317</v>
      </c>
      <c r="J76" s="9">
        <v>1996.0</v>
      </c>
      <c r="K76" s="9">
        <v>1995.0</v>
      </c>
      <c r="L76" s="8" t="s">
        <v>105</v>
      </c>
      <c r="M76" s="8"/>
      <c r="N76" s="8"/>
      <c r="O76" s="9">
        <v>4.5733E9</v>
      </c>
      <c r="P76" s="8" t="s">
        <v>108</v>
      </c>
      <c r="Q76" s="12">
        <f t="shared" si="1"/>
        <v>457330</v>
      </c>
      <c r="R76" s="7" t="str">
        <f t="shared" si="2"/>
        <v>3,000万〜</v>
      </c>
      <c r="S76" s="8" t="s">
        <v>1331</v>
      </c>
      <c r="T76" s="9"/>
      <c r="U76" s="9">
        <v>7.0</v>
      </c>
      <c r="V76" s="7" t="str">
        <f t="shared" si="3"/>
        <v>7〜12ヶ月</v>
      </c>
      <c r="W76" s="8" t="s">
        <v>1332</v>
      </c>
      <c r="X76" s="8" t="s">
        <v>1333</v>
      </c>
      <c r="Y76" s="8" t="s">
        <v>1334</v>
      </c>
      <c r="Z76" s="8" t="s">
        <v>1335</v>
      </c>
      <c r="AA76" s="8" t="s">
        <v>1336</v>
      </c>
      <c r="AB76" s="8" t="s">
        <v>125</v>
      </c>
      <c r="AC76" s="8" t="s">
        <v>126</v>
      </c>
      <c r="AD76" s="8"/>
      <c r="AE76" s="8" t="s">
        <v>1337</v>
      </c>
      <c r="AF76" s="8" t="s">
        <v>182</v>
      </c>
      <c r="AG76" s="8" t="s">
        <v>185</v>
      </c>
      <c r="AH76" s="7" t="str">
        <f t="shared" si="4"/>
        <v/>
      </c>
      <c r="AI76" s="7" t="s">
        <v>1339</v>
      </c>
      <c r="AJ76" s="13" t="s">
        <v>134</v>
      </c>
      <c r="AK76" s="13"/>
      <c r="AL76" s="13"/>
      <c r="AM76" s="14" t="s">
        <v>96</v>
      </c>
      <c r="AN76" s="7" t="s">
        <v>614</v>
      </c>
      <c r="AO76" s="7" t="s">
        <v>1341</v>
      </c>
    </row>
    <row r="77" ht="15.75" customHeight="1">
      <c r="A77" s="7">
        <v>76.0</v>
      </c>
      <c r="B77" s="7" t="s">
        <v>1342</v>
      </c>
      <c r="C77" s="7" t="s">
        <v>620</v>
      </c>
      <c r="D77" s="8" t="s">
        <v>99</v>
      </c>
      <c r="E77" s="8" t="s">
        <v>499</v>
      </c>
      <c r="F77" s="8" t="s">
        <v>1343</v>
      </c>
      <c r="G77" s="8" t="s">
        <v>1288</v>
      </c>
      <c r="H77" s="8" t="s">
        <v>1344</v>
      </c>
      <c r="I77" s="8" t="s">
        <v>1345</v>
      </c>
      <c r="J77" s="9">
        <v>1996.0</v>
      </c>
      <c r="K77" s="9">
        <v>1995.0</v>
      </c>
      <c r="L77" s="8" t="s">
        <v>105</v>
      </c>
      <c r="M77" s="8"/>
      <c r="N77" s="8" t="s">
        <v>1346</v>
      </c>
      <c r="O77" s="9">
        <v>2.75E7</v>
      </c>
      <c r="P77" s="8" t="s">
        <v>108</v>
      </c>
      <c r="Q77" s="12">
        <f t="shared" si="1"/>
        <v>2750</v>
      </c>
      <c r="R77" s="7" t="str">
        <f t="shared" si="2"/>
        <v>1,000〜3,000万</v>
      </c>
      <c r="S77" s="8" t="s">
        <v>1348</v>
      </c>
      <c r="T77" s="9"/>
      <c r="U77" s="9">
        <v>11.0</v>
      </c>
      <c r="V77" s="7" t="str">
        <f t="shared" si="3"/>
        <v>7〜12ヶ月</v>
      </c>
      <c r="W77" s="8" t="s">
        <v>1349</v>
      </c>
      <c r="X77" s="8" t="s">
        <v>1350</v>
      </c>
      <c r="Y77" s="8" t="s">
        <v>1351</v>
      </c>
      <c r="Z77" s="8" t="s">
        <v>894</v>
      </c>
      <c r="AA77" s="8" t="s">
        <v>1352</v>
      </c>
      <c r="AB77" s="8" t="s">
        <v>125</v>
      </c>
      <c r="AC77" s="8" t="s">
        <v>126</v>
      </c>
      <c r="AD77" s="8"/>
      <c r="AE77" s="8" t="s">
        <v>1353</v>
      </c>
      <c r="AF77" s="8" t="s">
        <v>182</v>
      </c>
      <c r="AG77" s="8"/>
      <c r="AH77" s="7" t="str">
        <f t="shared" si="4"/>
        <v/>
      </c>
      <c r="AI77" s="7"/>
      <c r="AJ77" s="13" t="s">
        <v>134</v>
      </c>
      <c r="AK77" s="13"/>
      <c r="AL77" s="13"/>
      <c r="AM77" s="14" t="s">
        <v>96</v>
      </c>
      <c r="AN77" s="7" t="s">
        <v>1355</v>
      </c>
      <c r="AO77" s="7" t="s">
        <v>1356</v>
      </c>
    </row>
    <row r="78" ht="15.75" customHeight="1">
      <c r="A78" s="7">
        <v>77.0</v>
      </c>
      <c r="B78" s="7" t="s">
        <v>1342</v>
      </c>
      <c r="C78" s="7" t="s">
        <v>620</v>
      </c>
      <c r="D78" s="8" t="s">
        <v>240</v>
      </c>
      <c r="E78" s="8" t="s">
        <v>499</v>
      </c>
      <c r="F78" s="8" t="s">
        <v>1357</v>
      </c>
      <c r="G78" s="8" t="s">
        <v>1358</v>
      </c>
      <c r="H78" s="8" t="s">
        <v>1359</v>
      </c>
      <c r="I78" s="8" t="s">
        <v>1345</v>
      </c>
      <c r="J78" s="9">
        <v>1996.0</v>
      </c>
      <c r="K78" s="9">
        <v>1995.0</v>
      </c>
      <c r="L78" s="8" t="s">
        <v>105</v>
      </c>
      <c r="M78" s="8"/>
      <c r="N78" s="8" t="s">
        <v>1346</v>
      </c>
      <c r="O78" s="9">
        <v>5.76E7</v>
      </c>
      <c r="P78" s="8" t="s">
        <v>108</v>
      </c>
      <c r="Q78" s="12">
        <f t="shared" si="1"/>
        <v>5760</v>
      </c>
      <c r="R78" s="7" t="str">
        <f t="shared" si="2"/>
        <v>3,000万〜</v>
      </c>
      <c r="S78" s="8" t="s">
        <v>1360</v>
      </c>
      <c r="T78" s="9"/>
      <c r="U78" s="9">
        <v>24.0</v>
      </c>
      <c r="V78" s="7" t="str">
        <f t="shared" si="3"/>
        <v>13〜24ヶ月</v>
      </c>
      <c r="W78" s="8" t="s">
        <v>1158</v>
      </c>
      <c r="X78" s="8" t="s">
        <v>1362</v>
      </c>
      <c r="Y78" s="8" t="s">
        <v>1363</v>
      </c>
      <c r="Z78" s="8" t="s">
        <v>894</v>
      </c>
      <c r="AA78" s="8" t="s">
        <v>1364</v>
      </c>
      <c r="AB78" s="8" t="s">
        <v>125</v>
      </c>
      <c r="AC78" s="8" t="s">
        <v>126</v>
      </c>
      <c r="AD78" s="8"/>
      <c r="AE78" s="8" t="s">
        <v>1365</v>
      </c>
      <c r="AF78" s="8" t="s">
        <v>128</v>
      </c>
      <c r="AG78" s="8" t="s">
        <v>95</v>
      </c>
      <c r="AH78" s="7" t="str">
        <f t="shared" si="4"/>
        <v/>
      </c>
      <c r="AI78" s="7"/>
      <c r="AJ78" s="13" t="s">
        <v>134</v>
      </c>
      <c r="AK78" s="13"/>
      <c r="AL78" s="13"/>
      <c r="AM78" s="14" t="s">
        <v>96</v>
      </c>
      <c r="AN78" s="7" t="s">
        <v>623</v>
      </c>
      <c r="AO78" s="7" t="s">
        <v>1367</v>
      </c>
    </row>
    <row r="79" ht="15.75" customHeight="1">
      <c r="A79" s="7">
        <v>78.0</v>
      </c>
      <c r="B79" s="7" t="s">
        <v>1368</v>
      </c>
      <c r="C79" s="7" t="s">
        <v>637</v>
      </c>
      <c r="D79" s="8" t="s">
        <v>99</v>
      </c>
      <c r="E79" s="8" t="s">
        <v>499</v>
      </c>
      <c r="F79" s="8" t="s">
        <v>1287</v>
      </c>
      <c r="G79" s="8" t="s">
        <v>1288</v>
      </c>
      <c r="H79" s="8" t="s">
        <v>1369</v>
      </c>
      <c r="I79" s="8" t="s">
        <v>1370</v>
      </c>
      <c r="J79" s="9">
        <v>1996.0</v>
      </c>
      <c r="K79" s="9">
        <v>1995.0</v>
      </c>
      <c r="L79" s="8" t="s">
        <v>105</v>
      </c>
      <c r="M79" s="8" t="s">
        <v>1371</v>
      </c>
      <c r="N79" s="8"/>
      <c r="O79" s="9">
        <v>9.975E8</v>
      </c>
      <c r="P79" s="8" t="s">
        <v>108</v>
      </c>
      <c r="Q79" s="12">
        <f t="shared" si="1"/>
        <v>99750</v>
      </c>
      <c r="R79" s="7" t="str">
        <f t="shared" si="2"/>
        <v>3,000万〜</v>
      </c>
      <c r="S79" s="8" t="s">
        <v>1373</v>
      </c>
      <c r="T79" s="9"/>
      <c r="U79" s="9">
        <v>48.0</v>
      </c>
      <c r="V79" s="7" t="str">
        <f t="shared" si="3"/>
        <v>25ヶ月〜</v>
      </c>
      <c r="W79" s="8" t="s">
        <v>1374</v>
      </c>
      <c r="X79" s="8" t="s">
        <v>1375</v>
      </c>
      <c r="Y79" s="8" t="s">
        <v>1376</v>
      </c>
      <c r="Z79" s="8" t="s">
        <v>1377</v>
      </c>
      <c r="AA79" s="8" t="s">
        <v>1378</v>
      </c>
      <c r="AB79" s="8" t="s">
        <v>125</v>
      </c>
      <c r="AC79" s="8" t="s">
        <v>126</v>
      </c>
      <c r="AD79" s="8"/>
      <c r="AE79" s="8" t="s">
        <v>899</v>
      </c>
      <c r="AF79" s="8" t="s">
        <v>182</v>
      </c>
      <c r="AG79" s="8" t="s">
        <v>413</v>
      </c>
      <c r="AH79" s="7" t="str">
        <f t="shared" si="4"/>
        <v/>
      </c>
      <c r="AI79" s="7"/>
      <c r="AJ79" s="13" t="s">
        <v>134</v>
      </c>
      <c r="AK79" s="13"/>
      <c r="AL79" s="13"/>
      <c r="AM79" s="14" t="s">
        <v>96</v>
      </c>
      <c r="AN79" s="7" t="s">
        <v>638</v>
      </c>
      <c r="AO79" s="7" t="s">
        <v>1379</v>
      </c>
    </row>
    <row r="80" ht="15.75" customHeight="1">
      <c r="A80" s="7">
        <v>79.0</v>
      </c>
      <c r="B80" s="7" t="s">
        <v>1380</v>
      </c>
      <c r="C80" s="7" t="s">
        <v>645</v>
      </c>
      <c r="D80" s="8" t="s">
        <v>99</v>
      </c>
      <c r="E80" s="8" t="s">
        <v>499</v>
      </c>
      <c r="F80" s="8" t="s">
        <v>1381</v>
      </c>
      <c r="G80" s="8" t="s">
        <v>1382</v>
      </c>
      <c r="H80" s="8" t="s">
        <v>1383</v>
      </c>
      <c r="I80" s="8" t="s">
        <v>1384</v>
      </c>
      <c r="J80" s="9">
        <v>1996.0</v>
      </c>
      <c r="K80" s="9">
        <v>1995.0</v>
      </c>
      <c r="L80" s="8" t="s">
        <v>105</v>
      </c>
      <c r="M80" s="8"/>
      <c r="N80" s="8" t="s">
        <v>1385</v>
      </c>
      <c r="O80" s="9">
        <v>6.882E8</v>
      </c>
      <c r="P80" s="8" t="s">
        <v>108</v>
      </c>
      <c r="Q80" s="12">
        <f t="shared" si="1"/>
        <v>68820</v>
      </c>
      <c r="R80" s="7" t="str">
        <f t="shared" si="2"/>
        <v>3,000万〜</v>
      </c>
      <c r="S80" s="8" t="s">
        <v>1386</v>
      </c>
      <c r="T80" s="9"/>
      <c r="U80" s="9">
        <v>50.0</v>
      </c>
      <c r="V80" s="7" t="str">
        <f t="shared" si="3"/>
        <v>25ヶ月〜</v>
      </c>
      <c r="W80" s="8" t="s">
        <v>1387</v>
      </c>
      <c r="X80" s="8" t="s">
        <v>1388</v>
      </c>
      <c r="Y80" s="8" t="s">
        <v>1389</v>
      </c>
      <c r="Z80" s="8" t="s">
        <v>1390</v>
      </c>
      <c r="AA80" s="8" t="s">
        <v>1391</v>
      </c>
      <c r="AB80" s="8" t="s">
        <v>125</v>
      </c>
      <c r="AC80" s="8" t="s">
        <v>126</v>
      </c>
      <c r="AD80" s="8"/>
      <c r="AE80" s="8" t="s">
        <v>899</v>
      </c>
      <c r="AF80" s="8" t="s">
        <v>182</v>
      </c>
      <c r="AG80" s="8" t="s">
        <v>95</v>
      </c>
      <c r="AH80" s="7" t="str">
        <f t="shared" si="4"/>
        <v/>
      </c>
      <c r="AI80" s="7"/>
      <c r="AJ80" s="13" t="s">
        <v>134</v>
      </c>
      <c r="AK80" s="13"/>
      <c r="AL80" s="13"/>
      <c r="AM80" s="14" t="s">
        <v>96</v>
      </c>
      <c r="AN80" s="7" t="s">
        <v>646</v>
      </c>
      <c r="AO80" s="7" t="s">
        <v>1394</v>
      </c>
    </row>
    <row r="81" ht="15.75" customHeight="1">
      <c r="A81" s="7">
        <v>80.0</v>
      </c>
      <c r="B81" s="7" t="s">
        <v>1395</v>
      </c>
      <c r="C81" s="7" t="s">
        <v>654</v>
      </c>
      <c r="D81" s="8" t="s">
        <v>99</v>
      </c>
      <c r="E81" s="8" t="s">
        <v>499</v>
      </c>
      <c r="F81" s="8" t="s">
        <v>1396</v>
      </c>
      <c r="G81" s="8" t="s">
        <v>1382</v>
      </c>
      <c r="H81" s="8" t="s">
        <v>1397</v>
      </c>
      <c r="I81" s="8" t="s">
        <v>1398</v>
      </c>
      <c r="J81" s="9">
        <v>1996.0</v>
      </c>
      <c r="K81" s="9">
        <v>1995.0</v>
      </c>
      <c r="L81" s="8" t="s">
        <v>105</v>
      </c>
      <c r="M81" s="8"/>
      <c r="N81" s="8"/>
      <c r="O81" s="9">
        <v>3.71E7</v>
      </c>
      <c r="P81" s="8" t="s">
        <v>108</v>
      </c>
      <c r="Q81" s="12">
        <f t="shared" si="1"/>
        <v>3710</v>
      </c>
      <c r="R81" s="7" t="str">
        <f t="shared" si="2"/>
        <v>3,000万〜</v>
      </c>
      <c r="S81" s="8" t="s">
        <v>1400</v>
      </c>
      <c r="T81" s="9"/>
      <c r="U81" s="9">
        <v>16.0</v>
      </c>
      <c r="V81" s="7" t="str">
        <f t="shared" si="3"/>
        <v>13〜24ヶ月</v>
      </c>
      <c r="W81" s="8" t="s">
        <v>1401</v>
      </c>
      <c r="X81" s="8" t="s">
        <v>1402</v>
      </c>
      <c r="Y81" s="8" t="s">
        <v>1403</v>
      </c>
      <c r="Z81" s="8" t="s">
        <v>894</v>
      </c>
      <c r="AA81" s="8" t="s">
        <v>1404</v>
      </c>
      <c r="AB81" s="8" t="s">
        <v>125</v>
      </c>
      <c r="AC81" s="8" t="s">
        <v>126</v>
      </c>
      <c r="AD81" s="8"/>
      <c r="AE81" s="8" t="s">
        <v>899</v>
      </c>
      <c r="AF81" s="8" t="s">
        <v>182</v>
      </c>
      <c r="AG81" s="8" t="s">
        <v>95</v>
      </c>
      <c r="AH81" s="7" t="str">
        <f t="shared" si="4"/>
        <v/>
      </c>
      <c r="AI81" s="7"/>
      <c r="AJ81" s="13" t="s">
        <v>134</v>
      </c>
      <c r="AK81" s="13"/>
      <c r="AL81" s="13"/>
      <c r="AM81" s="14" t="s">
        <v>96</v>
      </c>
      <c r="AN81" s="7" t="s">
        <v>655</v>
      </c>
      <c r="AO81" s="7" t="s">
        <v>1407</v>
      </c>
    </row>
    <row r="82" ht="15.75" customHeight="1">
      <c r="A82" s="7">
        <v>81.0</v>
      </c>
      <c r="B82" s="7" t="s">
        <v>1408</v>
      </c>
      <c r="C82" s="7" t="s">
        <v>658</v>
      </c>
      <c r="D82" s="8" t="s">
        <v>99</v>
      </c>
      <c r="E82" s="8" t="s">
        <v>499</v>
      </c>
      <c r="F82" s="8" t="s">
        <v>1381</v>
      </c>
      <c r="G82" s="8" t="s">
        <v>1382</v>
      </c>
      <c r="H82" s="8" t="s">
        <v>1409</v>
      </c>
      <c r="I82" s="8" t="s">
        <v>1410</v>
      </c>
      <c r="J82" s="9">
        <v>1996.0</v>
      </c>
      <c r="K82" s="9">
        <v>1995.0</v>
      </c>
      <c r="L82" s="8" t="s">
        <v>105</v>
      </c>
      <c r="M82" s="8"/>
      <c r="N82" s="8" t="s">
        <v>1385</v>
      </c>
      <c r="O82" s="9">
        <v>7.394E8</v>
      </c>
      <c r="P82" s="8" t="s">
        <v>108</v>
      </c>
      <c r="Q82" s="12">
        <f t="shared" si="1"/>
        <v>73940</v>
      </c>
      <c r="R82" s="7" t="str">
        <f t="shared" si="2"/>
        <v>3,000万〜</v>
      </c>
      <c r="S82" s="8" t="s">
        <v>1411</v>
      </c>
      <c r="T82" s="9"/>
      <c r="U82" s="9">
        <v>55.0</v>
      </c>
      <c r="V82" s="7" t="str">
        <f t="shared" si="3"/>
        <v>25ヶ月〜</v>
      </c>
      <c r="W82" s="8" t="s">
        <v>1412</v>
      </c>
      <c r="X82" s="8" t="s">
        <v>1413</v>
      </c>
      <c r="Y82" s="8" t="s">
        <v>1415</v>
      </c>
      <c r="Z82" s="8" t="s">
        <v>1416</v>
      </c>
      <c r="AA82" s="8" t="s">
        <v>1391</v>
      </c>
      <c r="AB82" s="8" t="s">
        <v>125</v>
      </c>
      <c r="AC82" s="8" t="s">
        <v>126</v>
      </c>
      <c r="AD82" s="8"/>
      <c r="AE82" s="8" t="s">
        <v>899</v>
      </c>
      <c r="AF82" s="8" t="s">
        <v>182</v>
      </c>
      <c r="AG82" s="8" t="s">
        <v>95</v>
      </c>
      <c r="AH82" s="7" t="str">
        <f t="shared" si="4"/>
        <v/>
      </c>
      <c r="AI82" s="7"/>
      <c r="AJ82" s="13" t="s">
        <v>134</v>
      </c>
      <c r="AK82" s="13"/>
      <c r="AL82" s="13"/>
      <c r="AM82" s="14" t="s">
        <v>96</v>
      </c>
      <c r="AN82" s="7" t="s">
        <v>659</v>
      </c>
      <c r="AO82" s="7" t="s">
        <v>1418</v>
      </c>
    </row>
    <row r="83" ht="15.75" customHeight="1">
      <c r="A83" s="7">
        <v>82.0</v>
      </c>
      <c r="B83" s="7" t="s">
        <v>1419</v>
      </c>
      <c r="C83" s="7" t="s">
        <v>662</v>
      </c>
      <c r="D83" s="8" t="s">
        <v>99</v>
      </c>
      <c r="E83" s="8" t="s">
        <v>499</v>
      </c>
      <c r="F83" s="8" t="s">
        <v>1396</v>
      </c>
      <c r="G83" s="8" t="s">
        <v>1382</v>
      </c>
      <c r="H83" s="8" t="s">
        <v>1420</v>
      </c>
      <c r="I83" s="8" t="s">
        <v>1421</v>
      </c>
      <c r="J83" s="9">
        <v>1996.0</v>
      </c>
      <c r="K83" s="9">
        <v>1995.0</v>
      </c>
      <c r="L83" s="8" t="s">
        <v>105</v>
      </c>
      <c r="M83" s="8"/>
      <c r="N83" s="8"/>
      <c r="O83" s="9">
        <v>2.76E7</v>
      </c>
      <c r="P83" s="8" t="s">
        <v>108</v>
      </c>
      <c r="Q83" s="12">
        <f t="shared" si="1"/>
        <v>2760</v>
      </c>
      <c r="R83" s="7" t="str">
        <f t="shared" si="2"/>
        <v>1,000〜3,000万</v>
      </c>
      <c r="S83" s="8" t="s">
        <v>1423</v>
      </c>
      <c r="T83" s="9"/>
      <c r="U83" s="9">
        <v>14.0</v>
      </c>
      <c r="V83" s="7" t="str">
        <f t="shared" si="3"/>
        <v>13〜24ヶ月</v>
      </c>
      <c r="W83" s="8" t="s">
        <v>1424</v>
      </c>
      <c r="X83" s="8" t="s">
        <v>1425</v>
      </c>
      <c r="Y83" s="8" t="s">
        <v>1426</v>
      </c>
      <c r="Z83" s="8" t="s">
        <v>1416</v>
      </c>
      <c r="AA83" s="8" t="s">
        <v>1427</v>
      </c>
      <c r="AB83" s="8" t="s">
        <v>125</v>
      </c>
      <c r="AC83" s="8" t="s">
        <v>126</v>
      </c>
      <c r="AD83" s="8"/>
      <c r="AE83" s="8" t="s">
        <v>947</v>
      </c>
      <c r="AF83" s="8" t="s">
        <v>182</v>
      </c>
      <c r="AG83" s="8" t="s">
        <v>413</v>
      </c>
      <c r="AH83" s="7" t="str">
        <f t="shared" si="4"/>
        <v/>
      </c>
      <c r="AI83" s="7"/>
      <c r="AJ83" s="13" t="s">
        <v>134</v>
      </c>
      <c r="AK83" s="13"/>
      <c r="AL83" s="13"/>
      <c r="AM83" s="14" t="s">
        <v>96</v>
      </c>
      <c r="AN83" s="7" t="s">
        <v>663</v>
      </c>
      <c r="AO83" s="7" t="s">
        <v>1430</v>
      </c>
    </row>
    <row r="84" ht="15.75" customHeight="1">
      <c r="A84" s="7">
        <v>83.0</v>
      </c>
      <c r="B84" s="7" t="s">
        <v>1431</v>
      </c>
      <c r="C84" s="7" t="s">
        <v>674</v>
      </c>
      <c r="D84" s="8" t="s">
        <v>99</v>
      </c>
      <c r="E84" s="8" t="s">
        <v>499</v>
      </c>
      <c r="F84" s="8" t="s">
        <v>1432</v>
      </c>
      <c r="G84" s="8" t="s">
        <v>376</v>
      </c>
      <c r="H84" s="8" t="s">
        <v>1433</v>
      </c>
      <c r="I84" s="8" t="s">
        <v>1434</v>
      </c>
      <c r="J84" s="9">
        <v>1996.0</v>
      </c>
      <c r="K84" s="9">
        <v>1995.0</v>
      </c>
      <c r="L84" s="8" t="s">
        <v>105</v>
      </c>
      <c r="M84" s="8"/>
      <c r="N84" s="8"/>
      <c r="O84" s="9">
        <v>4.9519E9</v>
      </c>
      <c r="P84" s="8" t="s">
        <v>108</v>
      </c>
      <c r="Q84" s="12">
        <f t="shared" si="1"/>
        <v>495190</v>
      </c>
      <c r="R84" s="7" t="str">
        <f t="shared" si="2"/>
        <v>3,000万〜</v>
      </c>
      <c r="S84" s="8" t="s">
        <v>1435</v>
      </c>
      <c r="T84" s="9"/>
      <c r="U84" s="9">
        <v>7.0</v>
      </c>
      <c r="V84" s="7" t="str">
        <f t="shared" si="3"/>
        <v>7〜12ヶ月</v>
      </c>
      <c r="W84" s="8" t="s">
        <v>1436</v>
      </c>
      <c r="X84" s="8" t="s">
        <v>1437</v>
      </c>
      <c r="Y84" s="8" t="s">
        <v>1438</v>
      </c>
      <c r="Z84" s="8" t="s">
        <v>1439</v>
      </c>
      <c r="AA84" s="8" t="s">
        <v>1440</v>
      </c>
      <c r="AB84" s="8" t="s">
        <v>125</v>
      </c>
      <c r="AC84" s="8" t="s">
        <v>126</v>
      </c>
      <c r="AD84" s="8"/>
      <c r="AE84" s="8" t="s">
        <v>1441</v>
      </c>
      <c r="AF84" s="8" t="s">
        <v>182</v>
      </c>
      <c r="AG84" s="8" t="s">
        <v>185</v>
      </c>
      <c r="AH84" s="7" t="str">
        <f t="shared" si="4"/>
        <v/>
      </c>
      <c r="AI84" s="7"/>
      <c r="AJ84" s="13" t="s">
        <v>134</v>
      </c>
      <c r="AK84" s="13"/>
      <c r="AL84" s="13"/>
      <c r="AM84" s="14" t="s">
        <v>96</v>
      </c>
      <c r="AN84" s="7" t="s">
        <v>675</v>
      </c>
      <c r="AO84" s="7" t="s">
        <v>1444</v>
      </c>
    </row>
    <row r="85" ht="15.75" customHeight="1">
      <c r="A85" s="7">
        <v>84.0</v>
      </c>
      <c r="B85" s="7" t="s">
        <v>1445</v>
      </c>
      <c r="C85" s="7" t="s">
        <v>681</v>
      </c>
      <c r="D85" s="8" t="s">
        <v>99</v>
      </c>
      <c r="E85" s="8" t="s">
        <v>499</v>
      </c>
      <c r="F85" s="8" t="s">
        <v>1432</v>
      </c>
      <c r="G85" s="8" t="s">
        <v>376</v>
      </c>
      <c r="H85" s="8" t="s">
        <v>1446</v>
      </c>
      <c r="I85" s="8" t="s">
        <v>1447</v>
      </c>
      <c r="J85" s="9">
        <v>1996.0</v>
      </c>
      <c r="K85" s="9">
        <v>1995.0</v>
      </c>
      <c r="L85" s="8" t="s">
        <v>105</v>
      </c>
      <c r="M85" s="8" t="s">
        <v>1448</v>
      </c>
      <c r="N85" s="8"/>
      <c r="O85" s="9">
        <v>1.0757E9</v>
      </c>
      <c r="P85" s="8" t="s">
        <v>108</v>
      </c>
      <c r="Q85" s="12">
        <f t="shared" si="1"/>
        <v>107570</v>
      </c>
      <c r="R85" s="7" t="str">
        <f t="shared" si="2"/>
        <v>3,000万〜</v>
      </c>
      <c r="S85" s="8" t="s">
        <v>1450</v>
      </c>
      <c r="T85" s="9"/>
      <c r="U85" s="9">
        <v>12.0</v>
      </c>
      <c r="V85" s="7" t="str">
        <f t="shared" si="3"/>
        <v>7〜12ヶ月</v>
      </c>
      <c r="W85" s="8" t="s">
        <v>1451</v>
      </c>
      <c r="X85" s="8" t="s">
        <v>1452</v>
      </c>
      <c r="Y85" s="8" t="s">
        <v>1453</v>
      </c>
      <c r="Z85" s="8" t="s">
        <v>1454</v>
      </c>
      <c r="AA85" s="8" t="s">
        <v>1455</v>
      </c>
      <c r="AB85" s="8" t="s">
        <v>125</v>
      </c>
      <c r="AC85" s="8" t="s">
        <v>126</v>
      </c>
      <c r="AD85" s="8"/>
      <c r="AE85" s="8" t="s">
        <v>1456</v>
      </c>
      <c r="AF85" s="8" t="s">
        <v>128</v>
      </c>
      <c r="AG85" s="8" t="s">
        <v>185</v>
      </c>
      <c r="AH85" s="7" t="str">
        <f t="shared" si="4"/>
        <v/>
      </c>
      <c r="AI85" s="7"/>
      <c r="AJ85" s="13" t="s">
        <v>134</v>
      </c>
      <c r="AK85" s="13"/>
      <c r="AL85" s="13"/>
      <c r="AM85" s="14" t="s">
        <v>96</v>
      </c>
      <c r="AN85" s="7" t="s">
        <v>682</v>
      </c>
      <c r="AO85" s="7" t="s">
        <v>1458</v>
      </c>
    </row>
    <row r="86" ht="15.75" customHeight="1">
      <c r="A86" s="7">
        <v>85.0</v>
      </c>
      <c r="B86" s="7" t="s">
        <v>1445</v>
      </c>
      <c r="C86" s="7" t="s">
        <v>681</v>
      </c>
      <c r="D86" s="8" t="s">
        <v>240</v>
      </c>
      <c r="E86" s="8" t="s">
        <v>499</v>
      </c>
      <c r="F86" s="8" t="s">
        <v>1460</v>
      </c>
      <c r="G86" s="8" t="s">
        <v>1461</v>
      </c>
      <c r="H86" s="8" t="s">
        <v>1462</v>
      </c>
      <c r="I86" s="8" t="s">
        <v>1447</v>
      </c>
      <c r="J86" s="9">
        <v>1998.0</v>
      </c>
      <c r="K86" s="9">
        <v>1998.0</v>
      </c>
      <c r="L86" s="8" t="s">
        <v>105</v>
      </c>
      <c r="M86" s="8" t="s">
        <v>1448</v>
      </c>
      <c r="N86" s="8"/>
      <c r="O86" s="9">
        <v>8.0839E9</v>
      </c>
      <c r="P86" s="8" t="s">
        <v>108</v>
      </c>
      <c r="Q86" s="12">
        <f t="shared" si="1"/>
        <v>808390</v>
      </c>
      <c r="R86" s="7" t="str">
        <f t="shared" si="2"/>
        <v>3,000万〜</v>
      </c>
      <c r="S86" s="8" t="s">
        <v>1463</v>
      </c>
      <c r="T86" s="9"/>
      <c r="U86" s="9">
        <v>7.0</v>
      </c>
      <c r="V86" s="7" t="str">
        <f t="shared" si="3"/>
        <v>7〜12ヶ月</v>
      </c>
      <c r="W86" s="8" t="s">
        <v>1464</v>
      </c>
      <c r="X86" s="8" t="s">
        <v>1465</v>
      </c>
      <c r="Y86" s="8" t="s">
        <v>1467</v>
      </c>
      <c r="Z86" s="8" t="s">
        <v>1468</v>
      </c>
      <c r="AA86" s="8" t="s">
        <v>1469</v>
      </c>
      <c r="AB86" s="8" t="s">
        <v>125</v>
      </c>
      <c r="AC86" s="8" t="s">
        <v>126</v>
      </c>
      <c r="AD86" s="8"/>
      <c r="AE86" s="8" t="s">
        <v>1470</v>
      </c>
      <c r="AF86" s="8" t="s">
        <v>182</v>
      </c>
      <c r="AG86" s="8" t="s">
        <v>185</v>
      </c>
      <c r="AH86" s="7" t="str">
        <f t="shared" si="4"/>
        <v/>
      </c>
      <c r="AI86" s="7"/>
      <c r="AJ86" s="13" t="s">
        <v>134</v>
      </c>
      <c r="AK86" s="13"/>
      <c r="AL86" s="13"/>
      <c r="AM86" s="14" t="s">
        <v>96</v>
      </c>
      <c r="AN86" s="7" t="s">
        <v>698</v>
      </c>
      <c r="AO86" s="7" t="s">
        <v>1472</v>
      </c>
    </row>
    <row r="87" ht="15.75" customHeight="1">
      <c r="A87" s="7">
        <v>86.0</v>
      </c>
      <c r="B87" s="7" t="s">
        <v>1473</v>
      </c>
      <c r="C87" s="7" t="s">
        <v>702</v>
      </c>
      <c r="D87" s="8" t="s">
        <v>99</v>
      </c>
      <c r="E87" s="8" t="s">
        <v>499</v>
      </c>
      <c r="F87" s="8" t="s">
        <v>1432</v>
      </c>
      <c r="G87" s="8" t="s">
        <v>376</v>
      </c>
      <c r="H87" s="8" t="s">
        <v>1475</v>
      </c>
      <c r="I87" s="8" t="s">
        <v>1476</v>
      </c>
      <c r="J87" s="9">
        <v>1996.0</v>
      </c>
      <c r="K87" s="9">
        <v>1995.0</v>
      </c>
      <c r="L87" s="8" t="s">
        <v>105</v>
      </c>
      <c r="M87" s="8"/>
      <c r="N87" s="8" t="s">
        <v>1477</v>
      </c>
      <c r="O87" s="9">
        <v>1.68E8</v>
      </c>
      <c r="P87" s="8" t="s">
        <v>108</v>
      </c>
      <c r="Q87" s="12">
        <f t="shared" si="1"/>
        <v>16800</v>
      </c>
      <c r="R87" s="7" t="str">
        <f t="shared" si="2"/>
        <v>3,000万〜</v>
      </c>
      <c r="S87" s="8" t="s">
        <v>1478</v>
      </c>
      <c r="T87" s="9"/>
      <c r="U87" s="9">
        <v>24.0</v>
      </c>
      <c r="V87" s="7" t="str">
        <f t="shared" si="3"/>
        <v>13〜24ヶ月</v>
      </c>
      <c r="W87" s="8" t="s">
        <v>1158</v>
      </c>
      <c r="X87" s="8" t="s">
        <v>1479</v>
      </c>
      <c r="Y87" s="8" t="s">
        <v>1480</v>
      </c>
      <c r="Z87" s="8" t="s">
        <v>894</v>
      </c>
      <c r="AA87" s="8" t="s">
        <v>1481</v>
      </c>
      <c r="AB87" s="8" t="s">
        <v>125</v>
      </c>
      <c r="AC87" s="8" t="s">
        <v>126</v>
      </c>
      <c r="AD87" s="8"/>
      <c r="AE87" s="8" t="s">
        <v>1482</v>
      </c>
      <c r="AF87" s="8" t="s">
        <v>182</v>
      </c>
      <c r="AG87" s="8" t="s">
        <v>95</v>
      </c>
      <c r="AH87" s="7" t="str">
        <f t="shared" si="4"/>
        <v/>
      </c>
      <c r="AI87" s="7"/>
      <c r="AJ87" s="13" t="s">
        <v>134</v>
      </c>
      <c r="AK87" s="13"/>
      <c r="AL87" s="13"/>
      <c r="AM87" s="14" t="s">
        <v>96</v>
      </c>
      <c r="AN87" s="7" t="s">
        <v>704</v>
      </c>
      <c r="AO87" s="7" t="s">
        <v>1485</v>
      </c>
    </row>
    <row r="88" ht="15.75" customHeight="1">
      <c r="A88" s="7">
        <v>87.0</v>
      </c>
      <c r="B88" s="7" t="s">
        <v>1486</v>
      </c>
      <c r="C88" s="7" t="s">
        <v>714</v>
      </c>
      <c r="D88" s="8" t="s">
        <v>99</v>
      </c>
      <c r="E88" s="8" t="s">
        <v>499</v>
      </c>
      <c r="F88" s="8" t="s">
        <v>1154</v>
      </c>
      <c r="G88" s="8" t="s">
        <v>1155</v>
      </c>
      <c r="H88" s="8" t="s">
        <v>1487</v>
      </c>
      <c r="I88" s="8" t="s">
        <v>1488</v>
      </c>
      <c r="J88" s="9">
        <v>1998.0</v>
      </c>
      <c r="K88" s="9">
        <v>1998.0</v>
      </c>
      <c r="L88" s="8" t="s">
        <v>105</v>
      </c>
      <c r="M88" s="8" t="s">
        <v>1489</v>
      </c>
      <c r="N88" s="8"/>
      <c r="O88" s="9">
        <v>5.2E7</v>
      </c>
      <c r="P88" s="8" t="s">
        <v>108</v>
      </c>
      <c r="Q88" s="12">
        <f t="shared" si="1"/>
        <v>5200</v>
      </c>
      <c r="R88" s="7" t="str">
        <f t="shared" si="2"/>
        <v>3,000万〜</v>
      </c>
      <c r="S88" s="8" t="s">
        <v>1490</v>
      </c>
      <c r="T88" s="9"/>
      <c r="U88" s="9">
        <v>21.0</v>
      </c>
      <c r="V88" s="7" t="str">
        <f t="shared" si="3"/>
        <v>13〜24ヶ月</v>
      </c>
      <c r="W88" s="8" t="s">
        <v>1492</v>
      </c>
      <c r="X88" s="8" t="s">
        <v>1493</v>
      </c>
      <c r="Y88" s="8" t="s">
        <v>1494</v>
      </c>
      <c r="Z88" s="8" t="s">
        <v>1495</v>
      </c>
      <c r="AA88" s="8" t="s">
        <v>1496</v>
      </c>
      <c r="AB88" s="8" t="s">
        <v>125</v>
      </c>
      <c r="AC88" s="8" t="s">
        <v>126</v>
      </c>
      <c r="AD88" s="8"/>
      <c r="AE88" s="8" t="s">
        <v>1482</v>
      </c>
      <c r="AF88" s="8" t="s">
        <v>182</v>
      </c>
      <c r="AG88" s="8" t="s">
        <v>95</v>
      </c>
      <c r="AH88" s="7" t="str">
        <f t="shared" si="4"/>
        <v/>
      </c>
      <c r="AI88" s="7"/>
      <c r="AJ88" s="13" t="s">
        <v>134</v>
      </c>
      <c r="AK88" s="13"/>
      <c r="AL88" s="13"/>
      <c r="AM88" s="14" t="s">
        <v>96</v>
      </c>
      <c r="AN88" s="7" t="s">
        <v>715</v>
      </c>
      <c r="AO88" s="7" t="s">
        <v>1498</v>
      </c>
    </row>
    <row r="89" ht="15.75" customHeight="1">
      <c r="A89" s="7">
        <v>88.0</v>
      </c>
      <c r="B89" s="7" t="s">
        <v>1499</v>
      </c>
      <c r="C89" s="7" t="s">
        <v>734</v>
      </c>
      <c r="D89" s="8" t="s">
        <v>99</v>
      </c>
      <c r="E89" s="8" t="s">
        <v>499</v>
      </c>
      <c r="F89" s="8" t="s">
        <v>1500</v>
      </c>
      <c r="G89" s="8" t="s">
        <v>1502</v>
      </c>
      <c r="H89" s="8" t="s">
        <v>1503</v>
      </c>
      <c r="I89" s="8" t="s">
        <v>1504</v>
      </c>
      <c r="J89" s="9">
        <v>1998.0</v>
      </c>
      <c r="K89" s="9">
        <v>1998.0</v>
      </c>
      <c r="L89" s="8" t="s">
        <v>105</v>
      </c>
      <c r="M89" s="8"/>
      <c r="N89" s="8"/>
      <c r="O89" s="9">
        <v>1.76E7</v>
      </c>
      <c r="P89" s="8" t="s">
        <v>108</v>
      </c>
      <c r="Q89" s="12">
        <f t="shared" si="1"/>
        <v>1760</v>
      </c>
      <c r="R89" s="7" t="str">
        <f t="shared" si="2"/>
        <v>1,000〜3,000万</v>
      </c>
      <c r="S89" s="8" t="s">
        <v>1505</v>
      </c>
      <c r="T89" s="9"/>
      <c r="U89" s="9">
        <v>13.0</v>
      </c>
      <c r="V89" s="7" t="str">
        <f t="shared" si="3"/>
        <v>13〜24ヶ月</v>
      </c>
      <c r="W89" s="8" t="s">
        <v>1506</v>
      </c>
      <c r="X89" s="8" t="s">
        <v>1507</v>
      </c>
      <c r="Y89" s="8" t="s">
        <v>1508</v>
      </c>
      <c r="Z89" s="8" t="s">
        <v>894</v>
      </c>
      <c r="AA89" s="8" t="s">
        <v>1509</v>
      </c>
      <c r="AB89" s="8" t="s">
        <v>125</v>
      </c>
      <c r="AC89" s="8" t="s">
        <v>126</v>
      </c>
      <c r="AD89" s="8"/>
      <c r="AE89" s="8" t="s">
        <v>1510</v>
      </c>
      <c r="AF89" s="8" t="s">
        <v>182</v>
      </c>
      <c r="AG89" s="8"/>
      <c r="AH89" s="7" t="str">
        <f t="shared" si="4"/>
        <v/>
      </c>
      <c r="AI89" s="7"/>
      <c r="AJ89" s="13" t="s">
        <v>134</v>
      </c>
      <c r="AK89" s="13"/>
      <c r="AL89" s="13"/>
      <c r="AM89" s="14" t="s">
        <v>96</v>
      </c>
      <c r="AN89" s="7" t="s">
        <v>1513</v>
      </c>
      <c r="AO89" s="7" t="s">
        <v>1514</v>
      </c>
    </row>
    <row r="90" ht="15.75" customHeight="1">
      <c r="A90" s="7">
        <v>89.0</v>
      </c>
      <c r="B90" s="7" t="s">
        <v>1515</v>
      </c>
      <c r="C90" s="7" t="s">
        <v>721</v>
      </c>
      <c r="D90" s="8" t="s">
        <v>99</v>
      </c>
      <c r="E90" s="8" t="s">
        <v>100</v>
      </c>
      <c r="F90" s="8" t="s">
        <v>905</v>
      </c>
      <c r="G90" s="8" t="s">
        <v>1516</v>
      </c>
      <c r="H90" s="8" t="s">
        <v>1517</v>
      </c>
      <c r="I90" s="8" t="s">
        <v>1518</v>
      </c>
      <c r="J90" s="9">
        <v>1998.0</v>
      </c>
      <c r="K90" s="9">
        <v>1998.0</v>
      </c>
      <c r="L90" s="8" t="s">
        <v>105</v>
      </c>
      <c r="M90" s="8" t="s">
        <v>1519</v>
      </c>
      <c r="N90" s="8" t="s">
        <v>1520</v>
      </c>
      <c r="O90" s="9">
        <v>7.32764E7</v>
      </c>
      <c r="P90" s="8" t="s">
        <v>108</v>
      </c>
      <c r="Q90" s="12">
        <f t="shared" si="1"/>
        <v>7327.64</v>
      </c>
      <c r="R90" s="7" t="str">
        <f t="shared" si="2"/>
        <v>3,000万〜</v>
      </c>
      <c r="S90" s="8" t="s">
        <v>1522</v>
      </c>
      <c r="T90" s="9">
        <v>3663000.0</v>
      </c>
      <c r="U90" s="9">
        <v>22.0</v>
      </c>
      <c r="V90" s="7" t="str">
        <f t="shared" si="3"/>
        <v>13〜24ヶ月</v>
      </c>
      <c r="W90" s="8" t="s">
        <v>1523</v>
      </c>
      <c r="X90" s="8" t="s">
        <v>1524</v>
      </c>
      <c r="Y90" s="8" t="s">
        <v>1525</v>
      </c>
      <c r="Z90" s="8" t="s">
        <v>1526</v>
      </c>
      <c r="AA90" s="8" t="s">
        <v>1527</v>
      </c>
      <c r="AB90" s="8" t="s">
        <v>125</v>
      </c>
      <c r="AC90" s="8" t="s">
        <v>126</v>
      </c>
      <c r="AD90" s="8"/>
      <c r="AE90" s="8" t="s">
        <v>1528</v>
      </c>
      <c r="AF90" s="8" t="s">
        <v>182</v>
      </c>
      <c r="AG90" s="8" t="s">
        <v>95</v>
      </c>
      <c r="AH90" s="7" t="str">
        <f t="shared" si="4"/>
        <v/>
      </c>
      <c r="AI90" s="7"/>
      <c r="AJ90" s="13" t="s">
        <v>134</v>
      </c>
      <c r="AK90" s="13"/>
      <c r="AL90" s="13"/>
      <c r="AM90" s="14" t="s">
        <v>96</v>
      </c>
      <c r="AN90" s="7" t="s">
        <v>722</v>
      </c>
      <c r="AO90" s="7" t="s">
        <v>1531</v>
      </c>
    </row>
    <row r="91" ht="15.75" customHeight="1">
      <c r="A91" s="7">
        <v>90.0</v>
      </c>
      <c r="B91" s="7" t="s">
        <v>1532</v>
      </c>
      <c r="C91" s="7" t="s">
        <v>726</v>
      </c>
      <c r="D91" s="8" t="s">
        <v>99</v>
      </c>
      <c r="E91" s="8" t="s">
        <v>499</v>
      </c>
      <c r="F91" s="8" t="s">
        <v>1533</v>
      </c>
      <c r="G91" s="8" t="s">
        <v>1516</v>
      </c>
      <c r="H91" s="8" t="s">
        <v>1534</v>
      </c>
      <c r="I91" s="8" t="s">
        <v>1535</v>
      </c>
      <c r="J91" s="9">
        <v>1998.0</v>
      </c>
      <c r="K91" s="9">
        <v>1998.0</v>
      </c>
      <c r="L91" s="8" t="s">
        <v>105</v>
      </c>
      <c r="M91" s="8"/>
      <c r="N91" s="8" t="s">
        <v>1536</v>
      </c>
      <c r="O91" s="9">
        <v>3.09E7</v>
      </c>
      <c r="P91" s="8" t="s">
        <v>108</v>
      </c>
      <c r="Q91" s="12">
        <f t="shared" si="1"/>
        <v>3090</v>
      </c>
      <c r="R91" s="7" t="str">
        <f t="shared" si="2"/>
        <v>3,000万〜</v>
      </c>
      <c r="S91" s="8" t="s">
        <v>1538</v>
      </c>
      <c r="T91" s="9"/>
      <c r="U91" s="9">
        <v>10.0</v>
      </c>
      <c r="V91" s="7" t="str">
        <f t="shared" si="3"/>
        <v>7〜12ヶ月</v>
      </c>
      <c r="W91" s="8" t="s">
        <v>1539</v>
      </c>
      <c r="X91" s="8" t="s">
        <v>1540</v>
      </c>
      <c r="Y91" s="8" t="s">
        <v>1541</v>
      </c>
      <c r="Z91" s="8" t="s">
        <v>1542</v>
      </c>
      <c r="AA91" s="8" t="s">
        <v>1543</v>
      </c>
      <c r="AB91" s="8" t="s">
        <v>125</v>
      </c>
      <c r="AC91" s="8" t="s">
        <v>126</v>
      </c>
      <c r="AD91" s="8"/>
      <c r="AE91" s="8" t="s">
        <v>1482</v>
      </c>
      <c r="AF91" s="8" t="s">
        <v>128</v>
      </c>
      <c r="AG91" s="8" t="s">
        <v>185</v>
      </c>
      <c r="AH91" s="7" t="str">
        <f t="shared" si="4"/>
        <v/>
      </c>
      <c r="AI91" s="7"/>
      <c r="AJ91" s="13" t="s">
        <v>134</v>
      </c>
      <c r="AK91" s="13"/>
      <c r="AL91" s="13"/>
      <c r="AM91" s="14" t="s">
        <v>96</v>
      </c>
      <c r="AN91" s="7" t="s">
        <v>727</v>
      </c>
      <c r="AO91" s="7" t="s">
        <v>1545</v>
      </c>
    </row>
    <row r="92" ht="15.75" customHeight="1">
      <c r="A92" s="7">
        <v>91.0</v>
      </c>
      <c r="B92" s="7" t="s">
        <v>1532</v>
      </c>
      <c r="C92" s="7" t="s">
        <v>726</v>
      </c>
      <c r="D92" s="8" t="s">
        <v>240</v>
      </c>
      <c r="E92" s="8" t="s">
        <v>499</v>
      </c>
      <c r="F92" s="8" t="s">
        <v>1546</v>
      </c>
      <c r="G92" s="8" t="s">
        <v>1547</v>
      </c>
      <c r="H92" s="8" t="s">
        <v>1548</v>
      </c>
      <c r="I92" s="8" t="s">
        <v>1535</v>
      </c>
      <c r="J92" s="9">
        <v>1998.0</v>
      </c>
      <c r="K92" s="9">
        <v>1998.0</v>
      </c>
      <c r="L92" s="8" t="s">
        <v>105</v>
      </c>
      <c r="M92" s="8"/>
      <c r="N92" s="8" t="s">
        <v>1549</v>
      </c>
      <c r="O92" s="9">
        <v>4.1207E9</v>
      </c>
      <c r="P92" s="8" t="s">
        <v>108</v>
      </c>
      <c r="Q92" s="12">
        <f t="shared" si="1"/>
        <v>412070</v>
      </c>
      <c r="R92" s="7" t="str">
        <f t="shared" si="2"/>
        <v>3,000万〜</v>
      </c>
      <c r="S92" s="8" t="s">
        <v>1550</v>
      </c>
      <c r="T92" s="9"/>
      <c r="U92" s="9">
        <v>16.0</v>
      </c>
      <c r="V92" s="7" t="str">
        <f t="shared" si="3"/>
        <v>13〜24ヶ月</v>
      </c>
      <c r="W92" s="8" t="s">
        <v>1551</v>
      </c>
      <c r="X92" s="8" t="s">
        <v>1552</v>
      </c>
      <c r="Y92" s="8" t="s">
        <v>1554</v>
      </c>
      <c r="Z92" s="8" t="s">
        <v>1555</v>
      </c>
      <c r="AA92" s="8" t="s">
        <v>1556</v>
      </c>
      <c r="AB92" s="8" t="s">
        <v>125</v>
      </c>
      <c r="AC92" s="8" t="s">
        <v>126</v>
      </c>
      <c r="AD92" s="8"/>
      <c r="AE92" s="8" t="s">
        <v>1557</v>
      </c>
      <c r="AF92" s="8" t="s">
        <v>182</v>
      </c>
      <c r="AG92" s="8" t="s">
        <v>413</v>
      </c>
      <c r="AH92" s="7" t="str">
        <f t="shared" si="4"/>
        <v/>
      </c>
      <c r="AI92" s="7"/>
      <c r="AJ92" s="13" t="s">
        <v>134</v>
      </c>
      <c r="AK92" s="13"/>
      <c r="AL92" s="13"/>
      <c r="AM92" s="14" t="s">
        <v>96</v>
      </c>
      <c r="AN92" s="7" t="s">
        <v>731</v>
      </c>
      <c r="AO92" s="7" t="s">
        <v>1559</v>
      </c>
    </row>
    <row r="93" ht="15.75" customHeight="1">
      <c r="A93" s="7">
        <v>92.0</v>
      </c>
      <c r="B93" s="7" t="s">
        <v>1560</v>
      </c>
      <c r="C93" s="7" t="s">
        <v>748</v>
      </c>
      <c r="D93" s="8" t="s">
        <v>99</v>
      </c>
      <c r="E93" s="8" t="s">
        <v>499</v>
      </c>
      <c r="F93" s="8" t="s">
        <v>1561</v>
      </c>
      <c r="G93" s="8" t="s">
        <v>1516</v>
      </c>
      <c r="H93" s="8" t="s">
        <v>1562</v>
      </c>
      <c r="I93" s="8" t="s">
        <v>1563</v>
      </c>
      <c r="J93" s="9">
        <v>1998.0</v>
      </c>
      <c r="K93" s="9">
        <v>1998.0</v>
      </c>
      <c r="L93" s="8" t="s">
        <v>105</v>
      </c>
      <c r="M93" s="8"/>
      <c r="N93" s="8" t="s">
        <v>1564</v>
      </c>
      <c r="O93" s="9">
        <v>1.308E8</v>
      </c>
      <c r="P93" s="8" t="s">
        <v>108</v>
      </c>
      <c r="Q93" s="12">
        <f t="shared" si="1"/>
        <v>13080</v>
      </c>
      <c r="R93" s="7" t="str">
        <f t="shared" si="2"/>
        <v>3,000万〜</v>
      </c>
      <c r="S93" s="8" t="s">
        <v>1565</v>
      </c>
      <c r="T93" s="9"/>
      <c r="U93" s="9">
        <v>58.0</v>
      </c>
      <c r="V93" s="7" t="str">
        <f t="shared" si="3"/>
        <v>25ヶ月〜</v>
      </c>
      <c r="W93" s="8" t="s">
        <v>1566</v>
      </c>
      <c r="X93" s="8" t="s">
        <v>1567</v>
      </c>
      <c r="Y93" s="8" t="s">
        <v>1568</v>
      </c>
      <c r="Z93" s="8" t="s">
        <v>1053</v>
      </c>
      <c r="AA93" s="8" t="s">
        <v>1569</v>
      </c>
      <c r="AB93" s="8" t="s">
        <v>125</v>
      </c>
      <c r="AC93" s="8" t="s">
        <v>126</v>
      </c>
      <c r="AD93" s="8"/>
      <c r="AE93" s="8" t="s">
        <v>1482</v>
      </c>
      <c r="AF93" s="8" t="s">
        <v>182</v>
      </c>
      <c r="AG93" s="8" t="s">
        <v>95</v>
      </c>
      <c r="AH93" s="7" t="str">
        <f t="shared" si="4"/>
        <v/>
      </c>
      <c r="AI93" s="7"/>
      <c r="AJ93" s="13" t="s">
        <v>134</v>
      </c>
      <c r="AK93" s="13"/>
      <c r="AL93" s="13"/>
      <c r="AM93" s="14" t="s">
        <v>96</v>
      </c>
      <c r="AN93" s="7" t="s">
        <v>749</v>
      </c>
      <c r="AO93" s="7" t="s">
        <v>1571</v>
      </c>
    </row>
    <row r="94" ht="15.75" customHeight="1">
      <c r="A94" s="7">
        <v>93.0</v>
      </c>
      <c r="B94" s="7" t="s">
        <v>1572</v>
      </c>
      <c r="C94" s="7" t="s">
        <v>755</v>
      </c>
      <c r="D94" s="8" t="s">
        <v>99</v>
      </c>
      <c r="E94" s="8" t="s">
        <v>100</v>
      </c>
      <c r="F94" s="8" t="s">
        <v>1573</v>
      </c>
      <c r="G94" s="8" t="s">
        <v>1574</v>
      </c>
      <c r="H94" s="8" t="s">
        <v>1575</v>
      </c>
      <c r="I94" s="8" t="s">
        <v>1576</v>
      </c>
      <c r="J94" s="9">
        <v>1998.0</v>
      </c>
      <c r="K94" s="9">
        <v>1998.0</v>
      </c>
      <c r="L94" s="8" t="s">
        <v>105</v>
      </c>
      <c r="M94" s="8" t="s">
        <v>1577</v>
      </c>
      <c r="N94" s="8" t="s">
        <v>1578</v>
      </c>
      <c r="O94" s="9">
        <v>5144700.0</v>
      </c>
      <c r="P94" s="8" t="s">
        <v>108</v>
      </c>
      <c r="Q94" s="12">
        <f t="shared" si="1"/>
        <v>514.47</v>
      </c>
      <c r="R94" s="7" t="str">
        <f t="shared" si="2"/>
        <v>500〜1,000万</v>
      </c>
      <c r="S94" s="8" t="s">
        <v>1579</v>
      </c>
      <c r="T94" s="9">
        <v>257000.0</v>
      </c>
      <c r="U94" s="9">
        <v>12.0</v>
      </c>
      <c r="V94" s="7" t="str">
        <f t="shared" si="3"/>
        <v>7〜12ヶ月</v>
      </c>
      <c r="W94" s="8" t="s">
        <v>1581</v>
      </c>
      <c r="X94" s="8" t="s">
        <v>1582</v>
      </c>
      <c r="Y94" s="8" t="s">
        <v>1583</v>
      </c>
      <c r="Z94" s="8" t="s">
        <v>1584</v>
      </c>
      <c r="AA94" s="8" t="s">
        <v>1585</v>
      </c>
      <c r="AB94" s="8" t="s">
        <v>125</v>
      </c>
      <c r="AC94" s="8" t="s">
        <v>126</v>
      </c>
      <c r="AD94" s="8"/>
      <c r="AE94" s="8" t="s">
        <v>1586</v>
      </c>
      <c r="AF94" s="8" t="s">
        <v>128</v>
      </c>
      <c r="AG94" s="8"/>
      <c r="AH94" s="7" t="str">
        <f t="shared" si="4"/>
        <v/>
      </c>
      <c r="AI94" s="7"/>
      <c r="AJ94" s="13" t="s">
        <v>134</v>
      </c>
      <c r="AK94" s="13"/>
      <c r="AL94" s="13"/>
      <c r="AM94" s="14" t="s">
        <v>96</v>
      </c>
      <c r="AN94" s="7" t="s">
        <v>756</v>
      </c>
      <c r="AO94" s="7" t="s">
        <v>1588</v>
      </c>
    </row>
    <row r="95" ht="15.75" customHeight="1">
      <c r="A95" s="7">
        <v>94.0</v>
      </c>
      <c r="B95" s="7" t="s">
        <v>1572</v>
      </c>
      <c r="C95" s="7" t="s">
        <v>755</v>
      </c>
      <c r="D95" s="8" t="s">
        <v>240</v>
      </c>
      <c r="E95" s="8" t="s">
        <v>100</v>
      </c>
      <c r="F95" s="8" t="s">
        <v>1589</v>
      </c>
      <c r="G95" s="8" t="s">
        <v>1590</v>
      </c>
      <c r="H95" s="8" t="s">
        <v>1575</v>
      </c>
      <c r="I95" s="8" t="s">
        <v>1591</v>
      </c>
      <c r="J95" s="9">
        <v>1998.0</v>
      </c>
      <c r="K95" s="9">
        <v>1998.0</v>
      </c>
      <c r="L95" s="8" t="s">
        <v>105</v>
      </c>
      <c r="M95" s="8" t="s">
        <v>1592</v>
      </c>
      <c r="N95" s="8" t="s">
        <v>1593</v>
      </c>
      <c r="O95" s="9">
        <v>3.25144E8</v>
      </c>
      <c r="P95" s="8" t="s">
        <v>108</v>
      </c>
      <c r="Q95" s="12">
        <f t="shared" si="1"/>
        <v>32514.4</v>
      </c>
      <c r="R95" s="7" t="str">
        <f t="shared" si="2"/>
        <v>3,000万〜</v>
      </c>
      <c r="S95" s="8" t="s">
        <v>1594</v>
      </c>
      <c r="T95" s="9">
        <v>1.6257E7</v>
      </c>
      <c r="U95" s="9">
        <v>42.0</v>
      </c>
      <c r="V95" s="7" t="str">
        <f t="shared" si="3"/>
        <v>25ヶ月〜</v>
      </c>
      <c r="W95" s="8" t="s">
        <v>1595</v>
      </c>
      <c r="X95" s="8" t="s">
        <v>1596</v>
      </c>
      <c r="Y95" s="8" t="s">
        <v>1597</v>
      </c>
      <c r="Z95" s="8" t="s">
        <v>1598</v>
      </c>
      <c r="AA95" s="8" t="s">
        <v>1599</v>
      </c>
      <c r="AB95" s="8" t="s">
        <v>125</v>
      </c>
      <c r="AC95" s="8" t="s">
        <v>126</v>
      </c>
      <c r="AD95" s="8"/>
      <c r="AE95" s="8" t="s">
        <v>1601</v>
      </c>
      <c r="AF95" s="8" t="s">
        <v>182</v>
      </c>
      <c r="AG95" s="8" t="s">
        <v>95</v>
      </c>
      <c r="AH95" s="7" t="str">
        <f t="shared" si="4"/>
        <v/>
      </c>
      <c r="AI95" s="7"/>
      <c r="AJ95" s="13" t="s">
        <v>134</v>
      </c>
      <c r="AK95" s="13"/>
      <c r="AL95" s="13"/>
      <c r="AM95" s="14" t="s">
        <v>96</v>
      </c>
      <c r="AN95" s="7" t="s">
        <v>756</v>
      </c>
      <c r="AO95" s="7" t="s">
        <v>1603</v>
      </c>
    </row>
    <row r="96" ht="15.75" customHeight="1">
      <c r="A96" s="7">
        <v>95.0</v>
      </c>
      <c r="B96" s="7" t="s">
        <v>1604</v>
      </c>
      <c r="C96" s="7" t="s">
        <v>764</v>
      </c>
      <c r="D96" s="8" t="s">
        <v>99</v>
      </c>
      <c r="E96" s="8" t="s">
        <v>499</v>
      </c>
      <c r="F96" s="8" t="s">
        <v>1327</v>
      </c>
      <c r="G96" s="8" t="s">
        <v>1328</v>
      </c>
      <c r="H96" s="8" t="s">
        <v>1605</v>
      </c>
      <c r="I96" s="8" t="s">
        <v>1606</v>
      </c>
      <c r="J96" s="9">
        <v>1998.0</v>
      </c>
      <c r="K96" s="9">
        <v>1998.0</v>
      </c>
      <c r="L96" s="8" t="s">
        <v>105</v>
      </c>
      <c r="M96" s="8"/>
      <c r="N96" s="8" t="s">
        <v>1385</v>
      </c>
      <c r="O96" s="9">
        <v>3.46E8</v>
      </c>
      <c r="P96" s="8" t="s">
        <v>108</v>
      </c>
      <c r="Q96" s="12">
        <f t="shared" si="1"/>
        <v>34600</v>
      </c>
      <c r="R96" s="7" t="str">
        <f t="shared" si="2"/>
        <v>3,000万〜</v>
      </c>
      <c r="S96" s="8" t="s">
        <v>1607</v>
      </c>
      <c r="T96" s="9"/>
      <c r="U96" s="9">
        <v>31.0</v>
      </c>
      <c r="V96" s="7" t="str">
        <f t="shared" si="3"/>
        <v>25ヶ月〜</v>
      </c>
      <c r="W96" s="8" t="s">
        <v>1608</v>
      </c>
      <c r="X96" s="8" t="s">
        <v>1609</v>
      </c>
      <c r="Y96" s="8" t="s">
        <v>1610</v>
      </c>
      <c r="Z96" s="8" t="s">
        <v>1611</v>
      </c>
      <c r="AA96" s="8" t="s">
        <v>1612</v>
      </c>
      <c r="AB96" s="8" t="s">
        <v>125</v>
      </c>
      <c r="AC96" s="8" t="s">
        <v>126</v>
      </c>
      <c r="AD96" s="8"/>
      <c r="AE96" s="8" t="s">
        <v>1482</v>
      </c>
      <c r="AF96" s="8" t="s">
        <v>182</v>
      </c>
      <c r="AG96" s="8" t="s">
        <v>95</v>
      </c>
      <c r="AH96" s="7" t="str">
        <f t="shared" si="4"/>
        <v/>
      </c>
      <c r="AI96" s="7"/>
      <c r="AJ96" s="13" t="s">
        <v>134</v>
      </c>
      <c r="AK96" s="13"/>
      <c r="AL96" s="13"/>
      <c r="AM96" s="14" t="s">
        <v>96</v>
      </c>
      <c r="AN96" s="7" t="s">
        <v>766</v>
      </c>
      <c r="AO96" s="7" t="s">
        <v>1614</v>
      </c>
    </row>
    <row r="97" ht="15.75" customHeight="1">
      <c r="A97" s="7">
        <v>96.0</v>
      </c>
      <c r="B97" s="7" t="s">
        <v>1615</v>
      </c>
      <c r="C97" s="7" t="s">
        <v>769</v>
      </c>
      <c r="D97" s="8" t="s">
        <v>99</v>
      </c>
      <c r="E97" s="8" t="s">
        <v>100</v>
      </c>
      <c r="F97" s="8" t="s">
        <v>262</v>
      </c>
      <c r="G97" s="8" t="s">
        <v>1616</v>
      </c>
      <c r="H97" s="8" t="s">
        <v>1617</v>
      </c>
      <c r="I97" s="8" t="s">
        <v>1618</v>
      </c>
      <c r="J97" s="9">
        <v>1998.0</v>
      </c>
      <c r="K97" s="9">
        <v>1998.0</v>
      </c>
      <c r="L97" s="8" t="s">
        <v>105</v>
      </c>
      <c r="M97" s="8" t="s">
        <v>1619</v>
      </c>
      <c r="N97" s="8" t="s">
        <v>1620</v>
      </c>
      <c r="O97" s="9">
        <v>7.73138E7</v>
      </c>
      <c r="P97" s="8" t="s">
        <v>108</v>
      </c>
      <c r="Q97" s="12">
        <f t="shared" si="1"/>
        <v>7731.38</v>
      </c>
      <c r="R97" s="7" t="str">
        <f t="shared" si="2"/>
        <v>3,000万〜</v>
      </c>
      <c r="S97" s="8" t="s">
        <v>1622</v>
      </c>
      <c r="T97" s="9">
        <v>3865000.0</v>
      </c>
      <c r="U97" s="9">
        <v>24.0</v>
      </c>
      <c r="V97" s="7" t="str">
        <f t="shared" si="3"/>
        <v>13〜24ヶ月</v>
      </c>
      <c r="W97" s="8" t="s">
        <v>1623</v>
      </c>
      <c r="X97" s="8" t="s">
        <v>1624</v>
      </c>
      <c r="Y97" s="8" t="s">
        <v>1625</v>
      </c>
      <c r="Z97" s="8" t="s">
        <v>1584</v>
      </c>
      <c r="AA97" s="8" t="s">
        <v>1626</v>
      </c>
      <c r="AB97" s="8" t="s">
        <v>125</v>
      </c>
      <c r="AC97" s="8" t="s">
        <v>126</v>
      </c>
      <c r="AD97" s="8"/>
      <c r="AE97" s="8" t="s">
        <v>1627</v>
      </c>
      <c r="AF97" s="8" t="s">
        <v>182</v>
      </c>
      <c r="AG97" s="8" t="s">
        <v>95</v>
      </c>
      <c r="AH97" s="7" t="str">
        <f t="shared" si="4"/>
        <v/>
      </c>
      <c r="AI97" s="7"/>
      <c r="AJ97" s="13" t="s">
        <v>134</v>
      </c>
      <c r="AK97" s="13"/>
      <c r="AL97" s="13"/>
      <c r="AM97" s="14" t="s">
        <v>96</v>
      </c>
      <c r="AN97" s="7" t="s">
        <v>770</v>
      </c>
      <c r="AO97" s="7" t="s">
        <v>1629</v>
      </c>
    </row>
    <row r="98" ht="15.75" customHeight="1">
      <c r="A98" s="7">
        <v>97.0</v>
      </c>
      <c r="B98" s="7" t="s">
        <v>1630</v>
      </c>
      <c r="C98" s="7" t="s">
        <v>781</v>
      </c>
      <c r="D98" s="8" t="s">
        <v>99</v>
      </c>
      <c r="E98" s="8" t="s">
        <v>100</v>
      </c>
      <c r="F98" s="8" t="s">
        <v>1631</v>
      </c>
      <c r="G98" s="8" t="s">
        <v>1632</v>
      </c>
      <c r="H98" s="8" t="s">
        <v>1633</v>
      </c>
      <c r="I98" s="8" t="s">
        <v>1634</v>
      </c>
      <c r="J98" s="9">
        <v>1998.0</v>
      </c>
      <c r="K98" s="9">
        <v>1998.0</v>
      </c>
      <c r="L98" s="8" t="s">
        <v>105</v>
      </c>
      <c r="M98" s="8" t="s">
        <v>1635</v>
      </c>
      <c r="N98" s="8" t="s">
        <v>1636</v>
      </c>
      <c r="O98" s="9">
        <v>7.0E7</v>
      </c>
      <c r="P98" s="8" t="s">
        <v>108</v>
      </c>
      <c r="Q98" s="12">
        <f t="shared" si="1"/>
        <v>7000</v>
      </c>
      <c r="R98" s="7" t="str">
        <f t="shared" si="2"/>
        <v>3,000万〜</v>
      </c>
      <c r="S98" s="8" t="s">
        <v>1637</v>
      </c>
      <c r="T98" s="9">
        <v>3500000.0</v>
      </c>
      <c r="U98" s="9">
        <v>36.0</v>
      </c>
      <c r="V98" s="7" t="str">
        <f t="shared" si="3"/>
        <v>25ヶ月〜</v>
      </c>
      <c r="W98" s="8" t="s">
        <v>1638</v>
      </c>
      <c r="X98" s="8" t="s">
        <v>1639</v>
      </c>
      <c r="Y98" s="8" t="s">
        <v>1640</v>
      </c>
      <c r="Z98" s="8" t="s">
        <v>1584</v>
      </c>
      <c r="AA98" s="8" t="s">
        <v>1641</v>
      </c>
      <c r="AB98" s="8" t="s">
        <v>125</v>
      </c>
      <c r="AC98" s="8" t="s">
        <v>126</v>
      </c>
      <c r="AD98" s="8"/>
      <c r="AE98" s="8" t="s">
        <v>1642</v>
      </c>
      <c r="AF98" s="8" t="s">
        <v>182</v>
      </c>
      <c r="AG98" s="8" t="s">
        <v>95</v>
      </c>
      <c r="AH98" s="7" t="str">
        <f t="shared" si="4"/>
        <v/>
      </c>
      <c r="AI98" s="7"/>
      <c r="AJ98" s="13" t="s">
        <v>134</v>
      </c>
      <c r="AK98" s="13"/>
      <c r="AL98" s="13"/>
      <c r="AM98" s="14" t="s">
        <v>96</v>
      </c>
      <c r="AN98" s="7" t="s">
        <v>782</v>
      </c>
      <c r="AO98" s="7" t="s">
        <v>1645</v>
      </c>
    </row>
    <row r="99" ht="15.75" customHeight="1">
      <c r="A99" s="7">
        <v>98.0</v>
      </c>
      <c r="B99" s="7" t="s">
        <v>1646</v>
      </c>
      <c r="C99" s="7" t="s">
        <v>799</v>
      </c>
      <c r="D99" s="8" t="s">
        <v>99</v>
      </c>
      <c r="E99" s="8" t="s">
        <v>499</v>
      </c>
      <c r="F99" s="8" t="s">
        <v>1573</v>
      </c>
      <c r="G99" s="8" t="s">
        <v>1647</v>
      </c>
      <c r="H99" s="8" t="s">
        <v>1648</v>
      </c>
      <c r="I99" s="8" t="s">
        <v>1649</v>
      </c>
      <c r="J99" s="9">
        <v>1998.0</v>
      </c>
      <c r="K99" s="9">
        <v>1998.0</v>
      </c>
      <c r="L99" s="8" t="s">
        <v>105</v>
      </c>
      <c r="M99" s="8"/>
      <c r="N99" s="8" t="s">
        <v>1385</v>
      </c>
      <c r="O99" s="9">
        <v>1.892E8</v>
      </c>
      <c r="P99" s="8" t="s">
        <v>108</v>
      </c>
      <c r="Q99" s="12">
        <f t="shared" si="1"/>
        <v>18920</v>
      </c>
      <c r="R99" s="7" t="str">
        <f t="shared" si="2"/>
        <v>3,000万〜</v>
      </c>
      <c r="S99" s="8" t="s">
        <v>1650</v>
      </c>
      <c r="T99" s="9"/>
      <c r="U99" s="9">
        <v>25.0</v>
      </c>
      <c r="V99" s="7" t="str">
        <f t="shared" si="3"/>
        <v>25ヶ月〜</v>
      </c>
      <c r="W99" s="8" t="s">
        <v>1651</v>
      </c>
      <c r="X99" s="8" t="s">
        <v>1652</v>
      </c>
      <c r="Y99" s="8" t="s">
        <v>1653</v>
      </c>
      <c r="Z99" s="8" t="s">
        <v>1611</v>
      </c>
      <c r="AA99" s="8" t="s">
        <v>1654</v>
      </c>
      <c r="AB99" s="8" t="s">
        <v>125</v>
      </c>
      <c r="AC99" s="8" t="s">
        <v>126</v>
      </c>
      <c r="AD99" s="8"/>
      <c r="AE99" s="8" t="s">
        <v>1482</v>
      </c>
      <c r="AF99" s="8" t="s">
        <v>182</v>
      </c>
      <c r="AG99" s="8" t="s">
        <v>95</v>
      </c>
      <c r="AH99" s="7" t="str">
        <f t="shared" si="4"/>
        <v/>
      </c>
      <c r="AI99" s="7"/>
      <c r="AJ99" s="13" t="s">
        <v>134</v>
      </c>
      <c r="AK99" s="13"/>
      <c r="AL99" s="13"/>
      <c r="AM99" s="14" t="s">
        <v>96</v>
      </c>
      <c r="AN99" s="7" t="s">
        <v>800</v>
      </c>
      <c r="AO99" s="7" t="s">
        <v>1656</v>
      </c>
    </row>
    <row r="100" ht="15.75" customHeight="1">
      <c r="A100" s="7">
        <v>99.0</v>
      </c>
      <c r="B100" s="7" t="s">
        <v>1657</v>
      </c>
      <c r="C100" s="7" t="s">
        <v>746</v>
      </c>
      <c r="D100" s="8" t="s">
        <v>99</v>
      </c>
      <c r="E100" s="8" t="s">
        <v>261</v>
      </c>
      <c r="F100" s="8" t="s">
        <v>1590</v>
      </c>
      <c r="G100" s="8" t="s">
        <v>1658</v>
      </c>
      <c r="H100" s="8" t="s">
        <v>1659</v>
      </c>
      <c r="I100" s="8" t="s">
        <v>1660</v>
      </c>
      <c r="J100" s="9">
        <v>1998.0</v>
      </c>
      <c r="K100" s="9">
        <v>1998.0</v>
      </c>
      <c r="L100" s="8" t="s">
        <v>1661</v>
      </c>
      <c r="M100" s="8" t="s">
        <v>1662</v>
      </c>
      <c r="N100" s="8" t="s">
        <v>1663</v>
      </c>
      <c r="O100" s="9">
        <v>2.04E7</v>
      </c>
      <c r="P100" s="8" t="s">
        <v>108</v>
      </c>
      <c r="Q100" s="12">
        <f t="shared" si="1"/>
        <v>2040</v>
      </c>
      <c r="R100" s="7" t="str">
        <f t="shared" si="2"/>
        <v>1,000〜3,000万</v>
      </c>
      <c r="S100" s="8" t="s">
        <v>1665</v>
      </c>
      <c r="T100" s="9"/>
      <c r="U100" s="9">
        <v>34.0</v>
      </c>
      <c r="V100" s="7" t="str">
        <f t="shared" si="3"/>
        <v>25ヶ月〜</v>
      </c>
      <c r="W100" s="8" t="s">
        <v>1666</v>
      </c>
      <c r="X100" s="8" t="s">
        <v>1667</v>
      </c>
      <c r="Y100" s="8" t="s">
        <v>1668</v>
      </c>
      <c r="Z100" s="8" t="s">
        <v>1669</v>
      </c>
      <c r="AA100" s="8" t="s">
        <v>1670</v>
      </c>
      <c r="AB100" s="8" t="s">
        <v>125</v>
      </c>
      <c r="AC100" s="8" t="s">
        <v>293</v>
      </c>
      <c r="AD100" s="8"/>
      <c r="AE100" s="8" t="s">
        <v>1671</v>
      </c>
      <c r="AF100" s="8" t="s">
        <v>182</v>
      </c>
      <c r="AG100" s="8" t="s">
        <v>95</v>
      </c>
      <c r="AH100" s="7" t="str">
        <f t="shared" si="4"/>
        <v/>
      </c>
      <c r="AI100" s="7"/>
      <c r="AJ100" s="13" t="s">
        <v>134</v>
      </c>
      <c r="AK100" s="13"/>
      <c r="AL100" s="13"/>
      <c r="AM100" s="14" t="s">
        <v>96</v>
      </c>
      <c r="AN100" s="7" t="s">
        <v>803</v>
      </c>
      <c r="AO100" s="7" t="s">
        <v>1673</v>
      </c>
    </row>
    <row r="101" ht="15.75" customHeight="1">
      <c r="A101" s="7">
        <v>100.0</v>
      </c>
      <c r="B101" s="7" t="s">
        <v>1674</v>
      </c>
      <c r="C101" s="7" t="s">
        <v>808</v>
      </c>
      <c r="D101" s="8" t="s">
        <v>99</v>
      </c>
      <c r="E101" s="8" t="s">
        <v>261</v>
      </c>
      <c r="F101" s="8" t="s">
        <v>1675</v>
      </c>
      <c r="G101" s="8" t="s">
        <v>1676</v>
      </c>
      <c r="H101" s="8" t="s">
        <v>1677</v>
      </c>
      <c r="I101" s="8" t="s">
        <v>1678</v>
      </c>
      <c r="J101" s="9">
        <v>1998.0</v>
      </c>
      <c r="K101" s="9">
        <v>1998.0</v>
      </c>
      <c r="L101" s="8" t="s">
        <v>1661</v>
      </c>
      <c r="M101" s="8" t="s">
        <v>1679</v>
      </c>
      <c r="N101" s="8" t="s">
        <v>1680</v>
      </c>
      <c r="O101" s="9">
        <v>5.8E7</v>
      </c>
      <c r="P101" s="8" t="s">
        <v>108</v>
      </c>
      <c r="Q101" s="12">
        <f t="shared" si="1"/>
        <v>5800</v>
      </c>
      <c r="R101" s="7" t="str">
        <f t="shared" si="2"/>
        <v>3,000万〜</v>
      </c>
      <c r="S101" s="8" t="s">
        <v>1681</v>
      </c>
      <c r="T101" s="9"/>
      <c r="U101" s="9">
        <v>48.0</v>
      </c>
      <c r="V101" s="7" t="str">
        <f t="shared" si="3"/>
        <v>25ヶ月〜</v>
      </c>
      <c r="W101" s="8" t="s">
        <v>1683</v>
      </c>
      <c r="X101" s="8" t="s">
        <v>1684</v>
      </c>
      <c r="Y101" s="8" t="s">
        <v>1685</v>
      </c>
      <c r="Z101" s="8" t="s">
        <v>1686</v>
      </c>
      <c r="AA101" s="8" t="s">
        <v>1687</v>
      </c>
      <c r="AB101" s="8" t="s">
        <v>125</v>
      </c>
      <c r="AC101" s="8" t="s">
        <v>293</v>
      </c>
      <c r="AD101" s="8"/>
      <c r="AE101" s="8" t="s">
        <v>1688</v>
      </c>
      <c r="AF101" s="8" t="s">
        <v>182</v>
      </c>
      <c r="AG101" s="8" t="s">
        <v>95</v>
      </c>
      <c r="AH101" s="7" t="str">
        <f t="shared" si="4"/>
        <v/>
      </c>
      <c r="AI101" s="7"/>
      <c r="AJ101" s="13" t="s">
        <v>134</v>
      </c>
      <c r="AK101" s="13"/>
      <c r="AL101" s="13"/>
      <c r="AM101" s="14" t="s">
        <v>96</v>
      </c>
      <c r="AN101" s="7" t="s">
        <v>809</v>
      </c>
      <c r="AO101" s="7" t="s">
        <v>1690</v>
      </c>
    </row>
    <row r="102" ht="15.75" customHeight="1">
      <c r="A102" s="7">
        <v>101.0</v>
      </c>
      <c r="B102" s="7" t="s">
        <v>1691</v>
      </c>
      <c r="C102" s="7" t="s">
        <v>823</v>
      </c>
      <c r="D102" s="8" t="s">
        <v>99</v>
      </c>
      <c r="E102" s="8" t="s">
        <v>261</v>
      </c>
      <c r="F102" s="8" t="s">
        <v>1692</v>
      </c>
      <c r="G102" s="8" t="s">
        <v>1693</v>
      </c>
      <c r="H102" s="8" t="s">
        <v>1694</v>
      </c>
      <c r="I102" s="8" t="s">
        <v>1695</v>
      </c>
      <c r="J102" s="9">
        <v>1998.0</v>
      </c>
      <c r="K102" s="9">
        <v>1998.0</v>
      </c>
      <c r="L102" s="8" t="s">
        <v>1661</v>
      </c>
      <c r="M102" s="8" t="s">
        <v>1696</v>
      </c>
      <c r="N102" s="8" t="s">
        <v>1697</v>
      </c>
      <c r="O102" s="9">
        <v>3.59E7</v>
      </c>
      <c r="P102" s="8" t="s">
        <v>108</v>
      </c>
      <c r="Q102" s="12">
        <f t="shared" si="1"/>
        <v>3590</v>
      </c>
      <c r="R102" s="7" t="str">
        <f t="shared" si="2"/>
        <v>3,000万〜</v>
      </c>
      <c r="S102" s="8" t="s">
        <v>1698</v>
      </c>
      <c r="T102" s="9"/>
      <c r="U102" s="9">
        <v>50.0</v>
      </c>
      <c r="V102" s="7" t="str">
        <f t="shared" si="3"/>
        <v>25ヶ月〜</v>
      </c>
      <c r="W102" s="8" t="s">
        <v>1699</v>
      </c>
      <c r="X102" s="8" t="s">
        <v>1700</v>
      </c>
      <c r="Y102" s="8" t="s">
        <v>1701</v>
      </c>
      <c r="Z102" s="8" t="s">
        <v>1702</v>
      </c>
      <c r="AA102" s="8" t="s">
        <v>1703</v>
      </c>
      <c r="AB102" s="8" t="s">
        <v>125</v>
      </c>
      <c r="AC102" s="8" t="s">
        <v>293</v>
      </c>
      <c r="AD102" s="8"/>
      <c r="AE102" s="8" t="s">
        <v>1704</v>
      </c>
      <c r="AF102" s="8" t="s">
        <v>182</v>
      </c>
      <c r="AG102" s="8" t="s">
        <v>95</v>
      </c>
      <c r="AH102" s="7" t="str">
        <f t="shared" si="4"/>
        <v/>
      </c>
      <c r="AI102" s="7"/>
      <c r="AJ102" s="13" t="s">
        <v>134</v>
      </c>
      <c r="AK102" s="13"/>
      <c r="AL102" s="13"/>
      <c r="AM102" s="14" t="s">
        <v>96</v>
      </c>
      <c r="AN102" s="7" t="s">
        <v>825</v>
      </c>
      <c r="AO102" s="7" t="s">
        <v>1706</v>
      </c>
    </row>
    <row r="103" ht="15.75" customHeight="1">
      <c r="A103" s="7">
        <v>102.0</v>
      </c>
      <c r="B103" s="7" t="s">
        <v>1708</v>
      </c>
      <c r="C103" s="7" t="s">
        <v>829</v>
      </c>
      <c r="D103" s="8" t="s">
        <v>99</v>
      </c>
      <c r="E103" s="8" t="s">
        <v>261</v>
      </c>
      <c r="F103" s="8" t="s">
        <v>1709</v>
      </c>
      <c r="G103" s="8" t="s">
        <v>1547</v>
      </c>
      <c r="H103" s="8" t="s">
        <v>1710</v>
      </c>
      <c r="I103" s="8" t="s">
        <v>1711</v>
      </c>
      <c r="J103" s="9">
        <v>1998.0</v>
      </c>
      <c r="K103" s="9">
        <v>1998.0</v>
      </c>
      <c r="L103" s="8" t="s">
        <v>1661</v>
      </c>
      <c r="M103" s="8" t="s">
        <v>1712</v>
      </c>
      <c r="N103" s="8" t="s">
        <v>1713</v>
      </c>
      <c r="O103" s="9">
        <v>1.055E8</v>
      </c>
      <c r="P103" s="8" t="s">
        <v>108</v>
      </c>
      <c r="Q103" s="12">
        <f t="shared" si="1"/>
        <v>10550</v>
      </c>
      <c r="R103" s="7" t="str">
        <f t="shared" si="2"/>
        <v>3,000万〜</v>
      </c>
      <c r="S103" s="8" t="s">
        <v>1714</v>
      </c>
      <c r="T103" s="9"/>
      <c r="U103" s="9">
        <v>51.0</v>
      </c>
      <c r="V103" s="7" t="str">
        <f t="shared" si="3"/>
        <v>25ヶ月〜</v>
      </c>
      <c r="W103" s="8" t="s">
        <v>1715</v>
      </c>
      <c r="X103" s="8" t="s">
        <v>1716</v>
      </c>
      <c r="Y103" s="8" t="s">
        <v>1717</v>
      </c>
      <c r="Z103" s="8" t="s">
        <v>1718</v>
      </c>
      <c r="AA103" s="8" t="s">
        <v>1719</v>
      </c>
      <c r="AB103" s="8" t="s">
        <v>125</v>
      </c>
      <c r="AC103" s="8" t="s">
        <v>126</v>
      </c>
      <c r="AD103" s="8"/>
      <c r="AE103" s="8" t="s">
        <v>1721</v>
      </c>
      <c r="AF103" s="8" t="s">
        <v>182</v>
      </c>
      <c r="AG103" s="8" t="s">
        <v>95</v>
      </c>
      <c r="AH103" s="7" t="str">
        <f t="shared" si="4"/>
        <v/>
      </c>
      <c r="AI103" s="7"/>
      <c r="AJ103" s="13" t="s">
        <v>134</v>
      </c>
      <c r="AK103" s="13"/>
      <c r="AL103" s="13"/>
      <c r="AM103" s="14" t="s">
        <v>96</v>
      </c>
      <c r="AN103" s="7" t="s">
        <v>830</v>
      </c>
      <c r="AO103" s="7" t="s">
        <v>1723</v>
      </c>
    </row>
    <row r="104" ht="15.75" customHeight="1">
      <c r="A104" s="7">
        <v>103.0</v>
      </c>
      <c r="B104" s="7" t="s">
        <v>1724</v>
      </c>
      <c r="C104" s="7" t="s">
        <v>838</v>
      </c>
      <c r="D104" s="8" t="s">
        <v>99</v>
      </c>
      <c r="E104" s="8" t="s">
        <v>261</v>
      </c>
      <c r="F104" s="8" t="s">
        <v>1725</v>
      </c>
      <c r="G104" s="8" t="s">
        <v>1547</v>
      </c>
      <c r="H104" s="8" t="s">
        <v>1726</v>
      </c>
      <c r="I104" s="8" t="s">
        <v>1727</v>
      </c>
      <c r="J104" s="9">
        <v>1998.0</v>
      </c>
      <c r="K104" s="9">
        <v>1998.0</v>
      </c>
      <c r="L104" s="8" t="s">
        <v>1661</v>
      </c>
      <c r="M104" s="8" t="s">
        <v>1728</v>
      </c>
      <c r="N104" s="8" t="s">
        <v>1729</v>
      </c>
      <c r="O104" s="9">
        <v>1.894E8</v>
      </c>
      <c r="P104" s="8" t="s">
        <v>108</v>
      </c>
      <c r="Q104" s="12">
        <f t="shared" si="1"/>
        <v>18940</v>
      </c>
      <c r="R104" s="7" t="str">
        <f t="shared" si="2"/>
        <v>3,000万〜</v>
      </c>
      <c r="S104" s="8" t="s">
        <v>1731</v>
      </c>
      <c r="T104" s="9"/>
      <c r="U104" s="9">
        <v>15.0</v>
      </c>
      <c r="V104" s="7" t="str">
        <f t="shared" si="3"/>
        <v>13〜24ヶ月</v>
      </c>
      <c r="W104" s="8" t="s">
        <v>1732</v>
      </c>
      <c r="X104" s="8" t="s">
        <v>1733</v>
      </c>
      <c r="Y104" s="8" t="s">
        <v>1734</v>
      </c>
      <c r="Z104" s="8" t="s">
        <v>1735</v>
      </c>
      <c r="AA104" s="8" t="s">
        <v>1736</v>
      </c>
      <c r="AB104" s="8" t="s">
        <v>125</v>
      </c>
      <c r="AC104" s="8" t="s">
        <v>293</v>
      </c>
      <c r="AD104" s="8"/>
      <c r="AE104" s="8" t="s">
        <v>1737</v>
      </c>
      <c r="AF104" s="8" t="s">
        <v>182</v>
      </c>
      <c r="AG104" s="8" t="s">
        <v>95</v>
      </c>
      <c r="AH104" s="7" t="str">
        <f t="shared" si="4"/>
        <v/>
      </c>
      <c r="AI104" s="7"/>
      <c r="AJ104" s="13" t="s">
        <v>134</v>
      </c>
      <c r="AK104" s="13"/>
      <c r="AL104" s="13"/>
      <c r="AM104" s="14" t="s">
        <v>96</v>
      </c>
      <c r="AN104" s="7" t="s">
        <v>839</v>
      </c>
      <c r="AO104" s="7" t="s">
        <v>1739</v>
      </c>
    </row>
    <row r="105" ht="15.75" customHeight="1">
      <c r="A105" s="7">
        <v>104.0</v>
      </c>
      <c r="B105" s="7" t="s">
        <v>1740</v>
      </c>
      <c r="C105" s="7" t="s">
        <v>843</v>
      </c>
      <c r="D105" s="8" t="s">
        <v>99</v>
      </c>
      <c r="E105" s="8" t="s">
        <v>261</v>
      </c>
      <c r="F105" s="8" t="s">
        <v>1742</v>
      </c>
      <c r="G105" s="8" t="s">
        <v>1743</v>
      </c>
      <c r="H105" s="8" t="s">
        <v>1744</v>
      </c>
      <c r="I105" s="8" t="s">
        <v>1745</v>
      </c>
      <c r="J105" s="9">
        <v>1998.0</v>
      </c>
      <c r="K105" s="9">
        <v>1998.0</v>
      </c>
      <c r="L105" s="8" t="s">
        <v>1661</v>
      </c>
      <c r="M105" s="8" t="s">
        <v>1679</v>
      </c>
      <c r="N105" s="8" t="s">
        <v>1746</v>
      </c>
      <c r="O105" s="9">
        <v>1.371E8</v>
      </c>
      <c r="P105" s="8" t="s">
        <v>108</v>
      </c>
      <c r="Q105" s="12">
        <f t="shared" si="1"/>
        <v>13710</v>
      </c>
      <c r="R105" s="7" t="str">
        <f t="shared" si="2"/>
        <v>3,000万〜</v>
      </c>
      <c r="S105" s="8" t="s">
        <v>1747</v>
      </c>
      <c r="T105" s="9"/>
      <c r="U105" s="9">
        <v>48.0</v>
      </c>
      <c r="V105" s="7" t="str">
        <f t="shared" si="3"/>
        <v>25ヶ月〜</v>
      </c>
      <c r="W105" s="8" t="s">
        <v>1748</v>
      </c>
      <c r="X105" s="8" t="s">
        <v>1749</v>
      </c>
      <c r="Y105" s="8" t="s">
        <v>1750</v>
      </c>
      <c r="Z105" s="8" t="s">
        <v>1751</v>
      </c>
      <c r="AA105" s="8" t="s">
        <v>1752</v>
      </c>
      <c r="AB105" s="8" t="s">
        <v>125</v>
      </c>
      <c r="AC105" s="8" t="s">
        <v>293</v>
      </c>
      <c r="AD105" s="8"/>
      <c r="AE105" s="8" t="s">
        <v>1753</v>
      </c>
      <c r="AF105" s="8" t="s">
        <v>182</v>
      </c>
      <c r="AG105" s="8" t="s">
        <v>413</v>
      </c>
      <c r="AH105" s="7" t="str">
        <f t="shared" si="4"/>
        <v/>
      </c>
      <c r="AI105" s="7"/>
      <c r="AJ105" s="13" t="s">
        <v>134</v>
      </c>
      <c r="AK105" s="13"/>
      <c r="AL105" s="13"/>
      <c r="AM105" s="14" t="s">
        <v>96</v>
      </c>
      <c r="AN105" s="7" t="s">
        <v>844</v>
      </c>
      <c r="AO105" s="7" t="s">
        <v>1755</v>
      </c>
    </row>
    <row r="106" ht="15.75" customHeight="1">
      <c r="A106" s="7">
        <v>105.0</v>
      </c>
      <c r="B106" s="7" t="s">
        <v>1756</v>
      </c>
      <c r="C106" s="7" t="s">
        <v>853</v>
      </c>
      <c r="D106" s="8" t="s">
        <v>99</v>
      </c>
      <c r="E106" s="8" t="s">
        <v>261</v>
      </c>
      <c r="F106" s="8" t="s">
        <v>1757</v>
      </c>
      <c r="G106" s="8" t="s">
        <v>1658</v>
      </c>
      <c r="H106" s="8" t="s">
        <v>1758</v>
      </c>
      <c r="I106" s="8" t="s">
        <v>1759</v>
      </c>
      <c r="J106" s="9">
        <v>1998.0</v>
      </c>
      <c r="K106" s="9">
        <v>1998.0</v>
      </c>
      <c r="L106" s="8" t="s">
        <v>1661</v>
      </c>
      <c r="M106" s="8" t="s">
        <v>1679</v>
      </c>
      <c r="N106" s="8" t="s">
        <v>1760</v>
      </c>
      <c r="O106" s="9">
        <v>2.447E8</v>
      </c>
      <c r="P106" s="8" t="s">
        <v>108</v>
      </c>
      <c r="Q106" s="12">
        <f t="shared" si="1"/>
        <v>24470</v>
      </c>
      <c r="R106" s="7" t="str">
        <f t="shared" si="2"/>
        <v>3,000万〜</v>
      </c>
      <c r="S106" s="8" t="s">
        <v>1762</v>
      </c>
      <c r="T106" s="9"/>
      <c r="U106" s="9">
        <v>144.0</v>
      </c>
      <c r="V106" s="7" t="str">
        <f t="shared" si="3"/>
        <v>25ヶ月〜</v>
      </c>
      <c r="W106" s="8" t="s">
        <v>1763</v>
      </c>
      <c r="X106" s="8" t="s">
        <v>1764</v>
      </c>
      <c r="Y106" s="8" t="s">
        <v>1765</v>
      </c>
      <c r="Z106" s="8" t="s">
        <v>1766</v>
      </c>
      <c r="AA106" s="8" t="s">
        <v>1767</v>
      </c>
      <c r="AB106" s="8" t="s">
        <v>125</v>
      </c>
      <c r="AC106" s="8" t="s">
        <v>293</v>
      </c>
      <c r="AD106" s="8"/>
      <c r="AE106" s="8" t="s">
        <v>1768</v>
      </c>
      <c r="AF106" s="8" t="s">
        <v>182</v>
      </c>
      <c r="AG106" s="8" t="s">
        <v>413</v>
      </c>
      <c r="AH106" s="7" t="str">
        <f t="shared" si="4"/>
        <v/>
      </c>
      <c r="AI106" s="7"/>
      <c r="AJ106" s="13" t="s">
        <v>134</v>
      </c>
      <c r="AK106" s="13"/>
      <c r="AL106" s="13"/>
      <c r="AM106" s="14" t="s">
        <v>96</v>
      </c>
      <c r="AN106" s="7" t="s">
        <v>854</v>
      </c>
      <c r="AO106" s="7" t="s">
        <v>1770</v>
      </c>
    </row>
    <row r="107" ht="15.75" customHeight="1">
      <c r="A107" s="7">
        <v>106.0</v>
      </c>
      <c r="B107" s="7" t="s">
        <v>1771</v>
      </c>
      <c r="C107" s="7" t="s">
        <v>861</v>
      </c>
      <c r="D107" s="8" t="s">
        <v>99</v>
      </c>
      <c r="E107" s="8" t="s">
        <v>499</v>
      </c>
      <c r="F107" s="8" t="s">
        <v>444</v>
      </c>
      <c r="G107" s="8" t="s">
        <v>1772</v>
      </c>
      <c r="H107" s="8" t="s">
        <v>1773</v>
      </c>
      <c r="I107" s="8" t="s">
        <v>1774</v>
      </c>
      <c r="J107" s="9">
        <v>1998.0</v>
      </c>
      <c r="K107" s="9">
        <v>1998.0</v>
      </c>
      <c r="L107" s="8" t="s">
        <v>105</v>
      </c>
      <c r="M107" s="8"/>
      <c r="N107" s="8"/>
      <c r="O107" s="9">
        <v>4.0797E9</v>
      </c>
      <c r="P107" s="8" t="s">
        <v>108</v>
      </c>
      <c r="Q107" s="12">
        <f t="shared" si="1"/>
        <v>407970</v>
      </c>
      <c r="R107" s="7" t="str">
        <f t="shared" si="2"/>
        <v>3,000万〜</v>
      </c>
      <c r="S107" s="8" t="s">
        <v>1776</v>
      </c>
      <c r="T107" s="9"/>
      <c r="U107" s="9">
        <v>8.0</v>
      </c>
      <c r="V107" s="7" t="str">
        <f t="shared" si="3"/>
        <v>7〜12ヶ月</v>
      </c>
      <c r="W107" s="8" t="s">
        <v>1777</v>
      </c>
      <c r="X107" s="8" t="s">
        <v>1778</v>
      </c>
      <c r="Y107" s="8" t="s">
        <v>1779</v>
      </c>
      <c r="Z107" s="8" t="s">
        <v>1555</v>
      </c>
      <c r="AA107" s="8" t="s">
        <v>1780</v>
      </c>
      <c r="AB107" s="8" t="s">
        <v>125</v>
      </c>
      <c r="AC107" s="8" t="s">
        <v>126</v>
      </c>
      <c r="AD107" s="8"/>
      <c r="AE107" s="8" t="s">
        <v>1456</v>
      </c>
      <c r="AF107" s="8" t="s">
        <v>182</v>
      </c>
      <c r="AG107" s="8" t="s">
        <v>185</v>
      </c>
      <c r="AH107" s="7" t="str">
        <f t="shared" si="4"/>
        <v/>
      </c>
      <c r="AI107" s="7"/>
      <c r="AJ107" s="13" t="s">
        <v>134</v>
      </c>
      <c r="AK107" s="13"/>
      <c r="AL107" s="13"/>
      <c r="AM107" s="14" t="s">
        <v>96</v>
      </c>
      <c r="AN107" s="7" t="s">
        <v>862</v>
      </c>
      <c r="AO107" s="7" t="s">
        <v>1783</v>
      </c>
    </row>
    <row r="108" ht="15.75" customHeight="1">
      <c r="A108" s="7">
        <v>107.0</v>
      </c>
      <c r="B108" s="7" t="s">
        <v>1784</v>
      </c>
      <c r="C108" s="7" t="s">
        <v>751</v>
      </c>
      <c r="D108" s="8" t="s">
        <v>99</v>
      </c>
      <c r="E108" s="8" t="s">
        <v>261</v>
      </c>
      <c r="F108" s="8" t="s">
        <v>533</v>
      </c>
      <c r="G108" s="8" t="s">
        <v>1692</v>
      </c>
      <c r="H108" s="8" t="s">
        <v>1785</v>
      </c>
      <c r="I108" s="8" t="s">
        <v>1786</v>
      </c>
      <c r="J108" s="9">
        <v>1998.0</v>
      </c>
      <c r="K108" s="9">
        <v>1998.0</v>
      </c>
      <c r="L108" s="8" t="s">
        <v>1661</v>
      </c>
      <c r="M108" s="8" t="s">
        <v>1787</v>
      </c>
      <c r="N108" s="8" t="s">
        <v>1788</v>
      </c>
      <c r="O108" s="9">
        <v>4.38E7</v>
      </c>
      <c r="P108" s="8" t="s">
        <v>108</v>
      </c>
      <c r="Q108" s="12">
        <f t="shared" si="1"/>
        <v>4380</v>
      </c>
      <c r="R108" s="7" t="str">
        <f t="shared" si="2"/>
        <v>3,000万〜</v>
      </c>
      <c r="S108" s="8" t="s">
        <v>1790</v>
      </c>
      <c r="T108" s="9"/>
      <c r="U108" s="9">
        <v>20.0</v>
      </c>
      <c r="V108" s="7" t="str">
        <f t="shared" si="3"/>
        <v>13〜24ヶ月</v>
      </c>
      <c r="W108" s="8" t="s">
        <v>1791</v>
      </c>
      <c r="X108" s="8" t="s">
        <v>1792</v>
      </c>
      <c r="Y108" s="8" t="s">
        <v>1793</v>
      </c>
      <c r="Z108" s="8" t="s">
        <v>1794</v>
      </c>
      <c r="AA108" s="8" t="s">
        <v>1795</v>
      </c>
      <c r="AB108" s="8" t="s">
        <v>125</v>
      </c>
      <c r="AC108" s="8" t="s">
        <v>293</v>
      </c>
      <c r="AD108" s="8"/>
      <c r="AE108" s="8" t="s">
        <v>1796</v>
      </c>
      <c r="AF108" s="8" t="s">
        <v>182</v>
      </c>
      <c r="AG108" s="8" t="s">
        <v>95</v>
      </c>
      <c r="AH108" s="7" t="str">
        <f t="shared" si="4"/>
        <v/>
      </c>
      <c r="AI108" s="7"/>
      <c r="AJ108" s="13" t="s">
        <v>134</v>
      </c>
      <c r="AK108" s="13"/>
      <c r="AL108" s="13"/>
      <c r="AM108" s="14" t="s">
        <v>96</v>
      </c>
      <c r="AN108" s="7" t="s">
        <v>867</v>
      </c>
      <c r="AO108" s="7" t="s">
        <v>1798</v>
      </c>
    </row>
    <row r="109" ht="15.75" customHeight="1">
      <c r="A109" s="7">
        <v>108.0</v>
      </c>
      <c r="B109" s="7" t="s">
        <v>1800</v>
      </c>
      <c r="C109" s="7" t="s">
        <v>871</v>
      </c>
      <c r="D109" s="8" t="s">
        <v>99</v>
      </c>
      <c r="E109" s="8" t="s">
        <v>261</v>
      </c>
      <c r="F109" s="8" t="s">
        <v>1801</v>
      </c>
      <c r="G109" s="8" t="s">
        <v>1802</v>
      </c>
      <c r="H109" s="8" t="s">
        <v>1803</v>
      </c>
      <c r="I109" s="8" t="s">
        <v>1804</v>
      </c>
      <c r="J109" s="9">
        <v>1998.0</v>
      </c>
      <c r="K109" s="9">
        <v>1998.0</v>
      </c>
      <c r="L109" s="8" t="s">
        <v>1661</v>
      </c>
      <c r="M109" s="8" t="s">
        <v>1805</v>
      </c>
      <c r="N109" s="8" t="s">
        <v>1806</v>
      </c>
      <c r="O109" s="9">
        <v>7.41E7</v>
      </c>
      <c r="P109" s="8" t="s">
        <v>108</v>
      </c>
      <c r="Q109" s="12">
        <f t="shared" si="1"/>
        <v>7410</v>
      </c>
      <c r="R109" s="7" t="str">
        <f t="shared" si="2"/>
        <v>3,000万〜</v>
      </c>
      <c r="S109" s="8" t="s">
        <v>1807</v>
      </c>
      <c r="T109" s="9"/>
      <c r="U109" s="9">
        <v>53.0</v>
      </c>
      <c r="V109" s="7" t="str">
        <f t="shared" si="3"/>
        <v>25ヶ月〜</v>
      </c>
      <c r="W109" s="8" t="s">
        <v>1808</v>
      </c>
      <c r="X109" s="8" t="s">
        <v>1809</v>
      </c>
      <c r="Y109" s="8" t="s">
        <v>1810</v>
      </c>
      <c r="Z109" s="8" t="s">
        <v>1812</v>
      </c>
      <c r="AA109" s="8" t="s">
        <v>1813</v>
      </c>
      <c r="AB109" s="8" t="s">
        <v>125</v>
      </c>
      <c r="AC109" s="8" t="s">
        <v>293</v>
      </c>
      <c r="AD109" s="8"/>
      <c r="AE109" s="8" t="s">
        <v>1814</v>
      </c>
      <c r="AF109" s="8" t="s">
        <v>182</v>
      </c>
      <c r="AG109" s="8" t="s">
        <v>95</v>
      </c>
      <c r="AH109" s="7" t="str">
        <f t="shared" si="4"/>
        <v/>
      </c>
      <c r="AI109" s="7"/>
      <c r="AJ109" s="13" t="s">
        <v>134</v>
      </c>
      <c r="AK109" s="13"/>
      <c r="AL109" s="13"/>
      <c r="AM109" s="14" t="s">
        <v>96</v>
      </c>
      <c r="AN109" s="7" t="s">
        <v>872</v>
      </c>
      <c r="AO109" s="7" t="s">
        <v>1816</v>
      </c>
    </row>
    <row r="110" ht="15.75" customHeight="1">
      <c r="A110" s="7">
        <v>109.0</v>
      </c>
      <c r="B110" s="7" t="s">
        <v>1817</v>
      </c>
      <c r="C110" s="7" t="s">
        <v>877</v>
      </c>
      <c r="D110" s="8" t="s">
        <v>99</v>
      </c>
      <c r="E110" s="8" t="s">
        <v>261</v>
      </c>
      <c r="F110" s="8" t="s">
        <v>1460</v>
      </c>
      <c r="G110" s="8" t="s">
        <v>1818</v>
      </c>
      <c r="H110" s="8" t="s">
        <v>1819</v>
      </c>
      <c r="I110" s="8" t="s">
        <v>1820</v>
      </c>
      <c r="J110" s="9">
        <v>1998.0</v>
      </c>
      <c r="K110" s="9">
        <v>1998.0</v>
      </c>
      <c r="L110" s="8" t="s">
        <v>1661</v>
      </c>
      <c r="M110" s="8" t="s">
        <v>1821</v>
      </c>
      <c r="N110" s="8" t="s">
        <v>1822</v>
      </c>
      <c r="O110" s="9">
        <v>1.029E8</v>
      </c>
      <c r="P110" s="8" t="s">
        <v>108</v>
      </c>
      <c r="Q110" s="12">
        <f t="shared" si="1"/>
        <v>10290</v>
      </c>
      <c r="R110" s="7" t="str">
        <f t="shared" si="2"/>
        <v>3,000万〜</v>
      </c>
      <c r="S110" s="8" t="s">
        <v>1824</v>
      </c>
      <c r="T110" s="9"/>
      <c r="U110" s="9">
        <v>50.0</v>
      </c>
      <c r="V110" s="7" t="str">
        <f t="shared" si="3"/>
        <v>25ヶ月〜</v>
      </c>
      <c r="W110" s="8" t="s">
        <v>1825</v>
      </c>
      <c r="X110" s="8" t="s">
        <v>1826</v>
      </c>
      <c r="Y110" s="8" t="s">
        <v>1827</v>
      </c>
      <c r="Z110" s="8" t="s">
        <v>1828</v>
      </c>
      <c r="AA110" s="8" t="s">
        <v>1829</v>
      </c>
      <c r="AB110" s="8" t="s">
        <v>125</v>
      </c>
      <c r="AC110" s="8" t="s">
        <v>293</v>
      </c>
      <c r="AD110" s="8"/>
      <c r="AE110" s="8" t="s">
        <v>1704</v>
      </c>
      <c r="AF110" s="8" t="s">
        <v>182</v>
      </c>
      <c r="AG110" s="8" t="s">
        <v>95</v>
      </c>
      <c r="AH110" s="7" t="str">
        <f t="shared" si="4"/>
        <v/>
      </c>
      <c r="AI110" s="7"/>
      <c r="AJ110" s="13" t="s">
        <v>134</v>
      </c>
      <c r="AK110" s="13"/>
      <c r="AL110" s="13"/>
      <c r="AM110" s="14" t="s">
        <v>96</v>
      </c>
      <c r="AN110" s="7" t="s">
        <v>878</v>
      </c>
      <c r="AO110" s="7" t="s">
        <v>1831</v>
      </c>
    </row>
    <row r="111" ht="15.75" customHeight="1">
      <c r="A111" s="7">
        <v>110.0</v>
      </c>
      <c r="B111" s="7" t="s">
        <v>1832</v>
      </c>
      <c r="C111" s="7" t="s">
        <v>883</v>
      </c>
      <c r="D111" s="8" t="s">
        <v>99</v>
      </c>
      <c r="E111" s="8" t="s">
        <v>261</v>
      </c>
      <c r="F111" s="8" t="s">
        <v>1460</v>
      </c>
      <c r="G111" s="8" t="s">
        <v>1818</v>
      </c>
      <c r="H111" s="8" t="s">
        <v>1834</v>
      </c>
      <c r="I111" s="8" t="s">
        <v>1835</v>
      </c>
      <c r="J111" s="9">
        <v>1998.0</v>
      </c>
      <c r="K111" s="9">
        <v>1998.0</v>
      </c>
      <c r="L111" s="8" t="s">
        <v>1661</v>
      </c>
      <c r="M111" s="8" t="s">
        <v>1836</v>
      </c>
      <c r="N111" s="8" t="s">
        <v>1837</v>
      </c>
      <c r="O111" s="9">
        <v>1.148E8</v>
      </c>
      <c r="P111" s="8" t="s">
        <v>108</v>
      </c>
      <c r="Q111" s="12">
        <f t="shared" si="1"/>
        <v>11480</v>
      </c>
      <c r="R111" s="7" t="str">
        <f t="shared" si="2"/>
        <v>3,000万〜</v>
      </c>
      <c r="S111" s="8" t="s">
        <v>1838</v>
      </c>
      <c r="T111" s="9"/>
      <c r="U111" s="9">
        <v>35.0</v>
      </c>
      <c r="V111" s="7" t="str">
        <f t="shared" si="3"/>
        <v>25ヶ月〜</v>
      </c>
      <c r="W111" s="8" t="s">
        <v>1839</v>
      </c>
      <c r="X111" s="8" t="s">
        <v>1840</v>
      </c>
      <c r="Y111" s="8" t="s">
        <v>1841</v>
      </c>
      <c r="Z111" s="8" t="s">
        <v>1842</v>
      </c>
      <c r="AA111" s="8" t="s">
        <v>1843</v>
      </c>
      <c r="AB111" s="8" t="s">
        <v>125</v>
      </c>
      <c r="AC111" s="8" t="s">
        <v>293</v>
      </c>
      <c r="AD111" s="8"/>
      <c r="AE111" s="8" t="s">
        <v>1844</v>
      </c>
      <c r="AF111" s="8" t="s">
        <v>182</v>
      </c>
      <c r="AG111" s="8" t="s">
        <v>95</v>
      </c>
      <c r="AH111" s="7" t="str">
        <f t="shared" si="4"/>
        <v/>
      </c>
      <c r="AI111" s="7"/>
      <c r="AJ111" s="13" t="s">
        <v>134</v>
      </c>
      <c r="AK111" s="13"/>
      <c r="AL111" s="13"/>
      <c r="AM111" s="14" t="s">
        <v>96</v>
      </c>
      <c r="AN111" s="7" t="s">
        <v>884</v>
      </c>
      <c r="AO111" s="7" t="s">
        <v>1847</v>
      </c>
    </row>
    <row r="112" ht="15.75" customHeight="1">
      <c r="A112" s="7">
        <v>111.0</v>
      </c>
      <c r="B112" s="7" t="s">
        <v>1848</v>
      </c>
      <c r="C112" s="7" t="s">
        <v>897</v>
      </c>
      <c r="D112" s="8" t="s">
        <v>99</v>
      </c>
      <c r="E112" s="8" t="s">
        <v>499</v>
      </c>
      <c r="F112" s="8" t="s">
        <v>1849</v>
      </c>
      <c r="G112" s="8" t="s">
        <v>1850</v>
      </c>
      <c r="H112" s="8" t="s">
        <v>1851</v>
      </c>
      <c r="I112" s="8" t="s">
        <v>1852</v>
      </c>
      <c r="J112" s="9">
        <v>1998.0</v>
      </c>
      <c r="K112" s="9">
        <v>1998.0</v>
      </c>
      <c r="L112" s="8" t="s">
        <v>105</v>
      </c>
      <c r="M112" s="8"/>
      <c r="N112" s="8"/>
      <c r="O112" s="9">
        <v>7.4436E9</v>
      </c>
      <c r="P112" s="8" t="s">
        <v>108</v>
      </c>
      <c r="Q112" s="12">
        <f t="shared" si="1"/>
        <v>744360</v>
      </c>
      <c r="R112" s="7" t="str">
        <f t="shared" si="2"/>
        <v>3,000万〜</v>
      </c>
      <c r="S112" s="8" t="s">
        <v>1853</v>
      </c>
      <c r="T112" s="9"/>
      <c r="U112" s="9">
        <v>9.0</v>
      </c>
      <c r="V112" s="7" t="str">
        <f t="shared" si="3"/>
        <v>7〜12ヶ月</v>
      </c>
      <c r="W112" s="8" t="s">
        <v>1855</v>
      </c>
      <c r="X112" s="8" t="s">
        <v>1856</v>
      </c>
      <c r="Y112" s="8" t="s">
        <v>1857</v>
      </c>
      <c r="Z112" s="8" t="s">
        <v>1858</v>
      </c>
      <c r="AA112" s="8" t="s">
        <v>1859</v>
      </c>
      <c r="AB112" s="8" t="s">
        <v>125</v>
      </c>
      <c r="AC112" s="8" t="s">
        <v>126</v>
      </c>
      <c r="AD112" s="8"/>
      <c r="AE112" s="8" t="s">
        <v>1456</v>
      </c>
      <c r="AF112" s="8" t="s">
        <v>182</v>
      </c>
      <c r="AG112" s="8" t="s">
        <v>185</v>
      </c>
      <c r="AH112" s="7" t="str">
        <f t="shared" si="4"/>
        <v/>
      </c>
      <c r="AI112" s="7"/>
      <c r="AJ112" s="13" t="s">
        <v>134</v>
      </c>
      <c r="AK112" s="13"/>
      <c r="AL112" s="13"/>
      <c r="AM112" s="14" t="s">
        <v>96</v>
      </c>
      <c r="AN112" s="7" t="s">
        <v>898</v>
      </c>
      <c r="AO112" s="7" t="s">
        <v>1861</v>
      </c>
    </row>
    <row r="113" ht="15.75" customHeight="1">
      <c r="A113" s="7">
        <v>112.0</v>
      </c>
      <c r="B113" s="7" t="s">
        <v>1862</v>
      </c>
      <c r="C113" s="7" t="s">
        <v>901</v>
      </c>
      <c r="D113" s="8" t="s">
        <v>99</v>
      </c>
      <c r="E113" s="8" t="s">
        <v>261</v>
      </c>
      <c r="F113" s="8" t="s">
        <v>1864</v>
      </c>
      <c r="G113" s="8" t="s">
        <v>1865</v>
      </c>
      <c r="H113" s="8" t="s">
        <v>1866</v>
      </c>
      <c r="I113" s="8" t="s">
        <v>1867</v>
      </c>
      <c r="J113" s="9">
        <v>1998.0</v>
      </c>
      <c r="K113" s="9">
        <v>1998.0</v>
      </c>
      <c r="L113" s="8" t="s">
        <v>1661</v>
      </c>
      <c r="M113" s="8" t="s">
        <v>266</v>
      </c>
      <c r="N113" s="8" t="s">
        <v>1868</v>
      </c>
      <c r="O113" s="9">
        <v>4.278E8</v>
      </c>
      <c r="P113" s="8" t="s">
        <v>108</v>
      </c>
      <c r="Q113" s="12">
        <f t="shared" si="1"/>
        <v>42780</v>
      </c>
      <c r="R113" s="7" t="str">
        <f t="shared" si="2"/>
        <v>3,000万〜</v>
      </c>
      <c r="S113" s="8" t="s">
        <v>1869</v>
      </c>
      <c r="T113" s="9"/>
      <c r="U113" s="9">
        <v>35.0</v>
      </c>
      <c r="V113" s="7" t="str">
        <f t="shared" si="3"/>
        <v>25ヶ月〜</v>
      </c>
      <c r="W113" s="8" t="s">
        <v>1870</v>
      </c>
      <c r="X113" s="8" t="s">
        <v>1871</v>
      </c>
      <c r="Y113" s="8" t="s">
        <v>1872</v>
      </c>
      <c r="Z113" s="8" t="s">
        <v>1873</v>
      </c>
      <c r="AA113" s="8" t="s">
        <v>1874</v>
      </c>
      <c r="AB113" s="8" t="s">
        <v>125</v>
      </c>
      <c r="AC113" s="8" t="s">
        <v>126</v>
      </c>
      <c r="AD113" s="8"/>
      <c r="AE113" s="8" t="s">
        <v>1875</v>
      </c>
      <c r="AF113" s="8" t="s">
        <v>182</v>
      </c>
      <c r="AG113" s="8" t="s">
        <v>95</v>
      </c>
      <c r="AH113" s="7" t="str">
        <f t="shared" si="4"/>
        <v/>
      </c>
      <c r="AI113" s="7"/>
      <c r="AJ113" s="13" t="s">
        <v>134</v>
      </c>
      <c r="AK113" s="13"/>
      <c r="AL113" s="13"/>
      <c r="AM113" s="14" t="s">
        <v>96</v>
      </c>
      <c r="AN113" s="7" t="s">
        <v>903</v>
      </c>
      <c r="AO113" s="7" t="s">
        <v>1877</v>
      </c>
    </row>
    <row r="114" ht="15.75" customHeight="1">
      <c r="A114" s="7">
        <v>113.0</v>
      </c>
      <c r="B114" s="7" t="s">
        <v>1878</v>
      </c>
      <c r="C114" s="7" t="s">
        <v>916</v>
      </c>
      <c r="D114" s="8" t="s">
        <v>99</v>
      </c>
      <c r="E114" s="8" t="s">
        <v>261</v>
      </c>
      <c r="F114" s="8" t="s">
        <v>1880</v>
      </c>
      <c r="G114" s="8" t="s">
        <v>533</v>
      </c>
      <c r="H114" s="8" t="s">
        <v>1881</v>
      </c>
      <c r="I114" s="8" t="s">
        <v>1882</v>
      </c>
      <c r="J114" s="9">
        <v>1998.0</v>
      </c>
      <c r="K114" s="9">
        <v>1998.0</v>
      </c>
      <c r="L114" s="8" t="s">
        <v>1661</v>
      </c>
      <c r="M114" s="8" t="s">
        <v>1883</v>
      </c>
      <c r="N114" s="8" t="s">
        <v>1884</v>
      </c>
      <c r="O114" s="9">
        <v>4.375E8</v>
      </c>
      <c r="P114" s="8" t="s">
        <v>108</v>
      </c>
      <c r="Q114" s="12">
        <f t="shared" si="1"/>
        <v>43750</v>
      </c>
      <c r="R114" s="7" t="str">
        <f t="shared" si="2"/>
        <v>3,000万〜</v>
      </c>
      <c r="S114" s="8" t="s">
        <v>1885</v>
      </c>
      <c r="T114" s="9"/>
      <c r="U114" s="9">
        <v>34.0</v>
      </c>
      <c r="V114" s="7" t="str">
        <f t="shared" si="3"/>
        <v>25ヶ月〜</v>
      </c>
      <c r="W114" s="8" t="s">
        <v>1886</v>
      </c>
      <c r="X114" s="8" t="s">
        <v>1887</v>
      </c>
      <c r="Y114" s="8" t="s">
        <v>1888</v>
      </c>
      <c r="Z114" s="8" t="s">
        <v>1889</v>
      </c>
      <c r="AA114" s="8" t="s">
        <v>1890</v>
      </c>
      <c r="AB114" s="8" t="s">
        <v>125</v>
      </c>
      <c r="AC114" s="8" t="s">
        <v>126</v>
      </c>
      <c r="AD114" s="8"/>
      <c r="AE114" s="8" t="s">
        <v>1892</v>
      </c>
      <c r="AF114" s="8" t="s">
        <v>182</v>
      </c>
      <c r="AG114" s="8" t="s">
        <v>95</v>
      </c>
      <c r="AH114" s="7" t="str">
        <f t="shared" si="4"/>
        <v/>
      </c>
      <c r="AI114" s="7"/>
      <c r="AJ114" s="13" t="s">
        <v>134</v>
      </c>
      <c r="AK114" s="13"/>
      <c r="AL114" s="13"/>
      <c r="AM114" s="14" t="s">
        <v>96</v>
      </c>
      <c r="AN114" s="7" t="s">
        <v>917</v>
      </c>
      <c r="AO114" s="7" t="s">
        <v>1894</v>
      </c>
    </row>
    <row r="115" ht="15.75" customHeight="1">
      <c r="A115" s="7">
        <v>114.0</v>
      </c>
      <c r="B115" s="7" t="s">
        <v>1895</v>
      </c>
      <c r="C115" s="7" t="s">
        <v>919</v>
      </c>
      <c r="D115" s="8" t="s">
        <v>99</v>
      </c>
      <c r="E115" s="8" t="s">
        <v>261</v>
      </c>
      <c r="F115" s="8" t="s">
        <v>1896</v>
      </c>
      <c r="G115" s="8" t="s">
        <v>463</v>
      </c>
      <c r="H115" s="8" t="s">
        <v>1897</v>
      </c>
      <c r="I115" s="8" t="s">
        <v>1898</v>
      </c>
      <c r="J115" s="9">
        <v>1998.0</v>
      </c>
      <c r="K115" s="9">
        <v>1998.0</v>
      </c>
      <c r="L115" s="8" t="s">
        <v>1661</v>
      </c>
      <c r="M115" s="8" t="s">
        <v>1899</v>
      </c>
      <c r="N115" s="8" t="s">
        <v>1900</v>
      </c>
      <c r="O115" s="9">
        <v>2.555E8</v>
      </c>
      <c r="P115" s="8" t="s">
        <v>108</v>
      </c>
      <c r="Q115" s="12">
        <f t="shared" si="1"/>
        <v>25550</v>
      </c>
      <c r="R115" s="7" t="str">
        <f t="shared" si="2"/>
        <v>3,000万〜</v>
      </c>
      <c r="S115" s="8" t="s">
        <v>1902</v>
      </c>
      <c r="T115" s="9"/>
      <c r="U115" s="9">
        <v>31.0</v>
      </c>
      <c r="V115" s="7" t="str">
        <f t="shared" si="3"/>
        <v>25ヶ月〜</v>
      </c>
      <c r="W115" s="8" t="s">
        <v>1903</v>
      </c>
      <c r="X115" s="8" t="s">
        <v>1904</v>
      </c>
      <c r="Y115" s="8" t="s">
        <v>1905</v>
      </c>
      <c r="Z115" s="8" t="s">
        <v>1906</v>
      </c>
      <c r="AA115" s="8" t="s">
        <v>1907</v>
      </c>
      <c r="AB115" s="8" t="s">
        <v>125</v>
      </c>
      <c r="AC115" s="8" t="s">
        <v>293</v>
      </c>
      <c r="AD115" s="8"/>
      <c r="AE115" s="8" t="s">
        <v>1908</v>
      </c>
      <c r="AF115" s="8" t="s">
        <v>182</v>
      </c>
      <c r="AG115" s="8" t="s">
        <v>95</v>
      </c>
      <c r="AH115" s="7" t="str">
        <f t="shared" si="4"/>
        <v/>
      </c>
      <c r="AI115" s="7"/>
      <c r="AJ115" s="13" t="s">
        <v>134</v>
      </c>
      <c r="AK115" s="13"/>
      <c r="AL115" s="13"/>
      <c r="AM115" s="14" t="s">
        <v>96</v>
      </c>
      <c r="AN115" s="7" t="s">
        <v>921</v>
      </c>
      <c r="AO115" s="7" t="s">
        <v>1910</v>
      </c>
    </row>
    <row r="116" ht="15.75" customHeight="1">
      <c r="A116" s="7">
        <v>115.0</v>
      </c>
      <c r="B116" s="7" t="s">
        <v>1911</v>
      </c>
      <c r="C116" s="7" t="s">
        <v>758</v>
      </c>
      <c r="D116" s="8" t="s">
        <v>99</v>
      </c>
      <c r="E116" s="8" t="s">
        <v>261</v>
      </c>
      <c r="F116" s="8" t="s">
        <v>1864</v>
      </c>
      <c r="G116" s="8" t="s">
        <v>1912</v>
      </c>
      <c r="H116" s="8" t="s">
        <v>1913</v>
      </c>
      <c r="I116" s="8" t="s">
        <v>1914</v>
      </c>
      <c r="J116" s="9">
        <v>1998.0</v>
      </c>
      <c r="K116" s="9">
        <v>1998.0</v>
      </c>
      <c r="L116" s="8" t="s">
        <v>1661</v>
      </c>
      <c r="M116" s="8" t="s">
        <v>1916</v>
      </c>
      <c r="N116" s="8" t="s">
        <v>1917</v>
      </c>
      <c r="O116" s="9">
        <v>3.29E7</v>
      </c>
      <c r="P116" s="8" t="s">
        <v>108</v>
      </c>
      <c r="Q116" s="12">
        <f t="shared" si="1"/>
        <v>3290</v>
      </c>
      <c r="R116" s="7" t="str">
        <f t="shared" si="2"/>
        <v>3,000万〜</v>
      </c>
      <c r="S116" s="8" t="s">
        <v>1918</v>
      </c>
      <c r="T116" s="9"/>
      <c r="U116" s="9">
        <v>41.0</v>
      </c>
      <c r="V116" s="7" t="str">
        <f t="shared" si="3"/>
        <v>25ヶ月〜</v>
      </c>
      <c r="W116" s="8" t="s">
        <v>1919</v>
      </c>
      <c r="X116" s="8" t="s">
        <v>1920</v>
      </c>
      <c r="Y116" s="8" t="s">
        <v>1921</v>
      </c>
      <c r="Z116" s="8" t="s">
        <v>1922</v>
      </c>
      <c r="AA116" s="8" t="s">
        <v>1923</v>
      </c>
      <c r="AB116" s="8" t="s">
        <v>125</v>
      </c>
      <c r="AC116" s="8" t="s">
        <v>293</v>
      </c>
      <c r="AD116" s="8"/>
      <c r="AE116" s="8" t="s">
        <v>1924</v>
      </c>
      <c r="AF116" s="8" t="s">
        <v>182</v>
      </c>
      <c r="AG116" s="8" t="s">
        <v>95</v>
      </c>
      <c r="AH116" s="7" t="str">
        <f t="shared" si="4"/>
        <v/>
      </c>
      <c r="AI116" s="7"/>
      <c r="AJ116" s="13" t="s">
        <v>134</v>
      </c>
      <c r="AK116" s="13"/>
      <c r="AL116" s="13"/>
      <c r="AM116" s="14" t="s">
        <v>96</v>
      </c>
      <c r="AN116" s="7" t="s">
        <v>935</v>
      </c>
      <c r="AO116" s="7" t="s">
        <v>1926</v>
      </c>
    </row>
    <row r="117" ht="15.75" customHeight="1">
      <c r="A117" s="7">
        <v>116.0</v>
      </c>
      <c r="B117" s="7" t="s">
        <v>1927</v>
      </c>
      <c r="C117" s="7" t="s">
        <v>939</v>
      </c>
      <c r="D117" s="8" t="s">
        <v>99</v>
      </c>
      <c r="E117" s="8" t="s">
        <v>261</v>
      </c>
      <c r="F117" s="8" t="s">
        <v>1928</v>
      </c>
      <c r="G117" s="8" t="s">
        <v>1912</v>
      </c>
      <c r="H117" s="8" t="s">
        <v>1930</v>
      </c>
      <c r="I117" s="8" t="s">
        <v>1931</v>
      </c>
      <c r="J117" s="9">
        <v>1998.0</v>
      </c>
      <c r="K117" s="9">
        <v>1998.0</v>
      </c>
      <c r="L117" s="8" t="s">
        <v>1661</v>
      </c>
      <c r="M117" s="8" t="s">
        <v>1916</v>
      </c>
      <c r="N117" s="8" t="s">
        <v>1932</v>
      </c>
      <c r="O117" s="9">
        <v>3.28E7</v>
      </c>
      <c r="P117" s="8" t="s">
        <v>108</v>
      </c>
      <c r="Q117" s="12">
        <f t="shared" si="1"/>
        <v>3280</v>
      </c>
      <c r="R117" s="7" t="str">
        <f t="shared" si="2"/>
        <v>3,000万〜</v>
      </c>
      <c r="S117" s="8" t="s">
        <v>1933</v>
      </c>
      <c r="T117" s="9"/>
      <c r="U117" s="9">
        <v>41.0</v>
      </c>
      <c r="V117" s="7" t="str">
        <f t="shared" si="3"/>
        <v>25ヶ月〜</v>
      </c>
      <c r="W117" s="8" t="s">
        <v>1919</v>
      </c>
      <c r="X117" s="8" t="s">
        <v>1920</v>
      </c>
      <c r="Y117" s="8" t="s">
        <v>1934</v>
      </c>
      <c r="Z117" s="8" t="s">
        <v>1935</v>
      </c>
      <c r="AA117" s="8" t="s">
        <v>1936</v>
      </c>
      <c r="AB117" s="8" t="s">
        <v>125</v>
      </c>
      <c r="AC117" s="8" t="s">
        <v>293</v>
      </c>
      <c r="AD117" s="8"/>
      <c r="AE117" s="8" t="s">
        <v>1937</v>
      </c>
      <c r="AF117" s="8" t="s">
        <v>182</v>
      </c>
      <c r="AG117" s="8" t="s">
        <v>95</v>
      </c>
      <c r="AH117" s="7" t="str">
        <f t="shared" si="4"/>
        <v/>
      </c>
      <c r="AI117" s="7"/>
      <c r="AJ117" s="13" t="s">
        <v>134</v>
      </c>
      <c r="AK117" s="13"/>
      <c r="AL117" s="13"/>
      <c r="AM117" s="14" t="s">
        <v>96</v>
      </c>
      <c r="AN117" s="7" t="s">
        <v>941</v>
      </c>
      <c r="AO117" s="7" t="s">
        <v>1940</v>
      </c>
    </row>
    <row r="118" ht="15.75" customHeight="1">
      <c r="A118" s="7">
        <v>117.0</v>
      </c>
      <c r="B118" s="7" t="s">
        <v>1941</v>
      </c>
      <c r="C118" s="7" t="s">
        <v>948</v>
      </c>
      <c r="D118" s="8" t="s">
        <v>99</v>
      </c>
      <c r="E118" s="8" t="s">
        <v>261</v>
      </c>
      <c r="F118" s="8" t="s">
        <v>1928</v>
      </c>
      <c r="G118" s="8" t="s">
        <v>1942</v>
      </c>
      <c r="H118" s="8" t="s">
        <v>1943</v>
      </c>
      <c r="I118" s="8" t="s">
        <v>1944</v>
      </c>
      <c r="J118" s="9">
        <v>1998.0</v>
      </c>
      <c r="K118" s="9">
        <v>1998.0</v>
      </c>
      <c r="L118" s="8" t="s">
        <v>1661</v>
      </c>
      <c r="M118" s="8" t="s">
        <v>1945</v>
      </c>
      <c r="N118" s="8" t="s">
        <v>1946</v>
      </c>
      <c r="O118" s="9">
        <v>5.81E7</v>
      </c>
      <c r="P118" s="8" t="s">
        <v>108</v>
      </c>
      <c r="Q118" s="12">
        <f t="shared" si="1"/>
        <v>5810</v>
      </c>
      <c r="R118" s="7" t="str">
        <f t="shared" si="2"/>
        <v>3,000万〜</v>
      </c>
      <c r="S118" s="8" t="s">
        <v>1947</v>
      </c>
      <c r="T118" s="9"/>
      <c r="U118" s="9">
        <v>54.0</v>
      </c>
      <c r="V118" s="7" t="str">
        <f t="shared" si="3"/>
        <v>25ヶ月〜</v>
      </c>
      <c r="W118" s="8" t="s">
        <v>1949</v>
      </c>
      <c r="X118" s="8" t="s">
        <v>1950</v>
      </c>
      <c r="Y118" s="8" t="s">
        <v>1951</v>
      </c>
      <c r="Z118" s="8" t="s">
        <v>1952</v>
      </c>
      <c r="AA118" s="8" t="s">
        <v>1953</v>
      </c>
      <c r="AB118" s="8" t="s">
        <v>125</v>
      </c>
      <c r="AC118" s="8" t="s">
        <v>293</v>
      </c>
      <c r="AD118" s="8"/>
      <c r="AE118" s="8" t="s">
        <v>1908</v>
      </c>
      <c r="AF118" s="8" t="s">
        <v>182</v>
      </c>
      <c r="AG118" s="8" t="s">
        <v>95</v>
      </c>
      <c r="AH118" s="7" t="str">
        <f t="shared" si="4"/>
        <v/>
      </c>
      <c r="AI118" s="7"/>
      <c r="AJ118" s="13" t="s">
        <v>134</v>
      </c>
      <c r="AK118" s="13"/>
      <c r="AL118" s="13"/>
      <c r="AM118" s="14" t="s">
        <v>96</v>
      </c>
      <c r="AN118" s="7" t="s">
        <v>950</v>
      </c>
      <c r="AO118" s="7" t="s">
        <v>1955</v>
      </c>
    </row>
    <row r="119" ht="15.75" customHeight="1">
      <c r="A119" s="7">
        <v>118.0</v>
      </c>
      <c r="B119" s="7" t="s">
        <v>1956</v>
      </c>
      <c r="C119" s="7" t="s">
        <v>960</v>
      </c>
      <c r="D119" s="8" t="s">
        <v>99</v>
      </c>
      <c r="E119" s="8" t="s">
        <v>261</v>
      </c>
      <c r="F119" s="8" t="s">
        <v>1957</v>
      </c>
      <c r="G119" s="8" t="s">
        <v>516</v>
      </c>
      <c r="H119" s="8" t="s">
        <v>1959</v>
      </c>
      <c r="I119" s="8" t="s">
        <v>1960</v>
      </c>
      <c r="J119" s="9">
        <v>1998.0</v>
      </c>
      <c r="K119" s="9">
        <v>1998.0</v>
      </c>
      <c r="L119" s="8" t="s">
        <v>105</v>
      </c>
      <c r="M119" s="8"/>
      <c r="N119" s="8"/>
      <c r="O119" s="9">
        <v>1.20785E10</v>
      </c>
      <c r="P119" s="8" t="s">
        <v>108</v>
      </c>
      <c r="Q119" s="12">
        <f t="shared" si="1"/>
        <v>1207850</v>
      </c>
      <c r="R119" s="7" t="str">
        <f t="shared" si="2"/>
        <v>3,000万〜</v>
      </c>
      <c r="S119" s="8" t="s">
        <v>1961</v>
      </c>
      <c r="T119" s="9"/>
      <c r="U119" s="9"/>
      <c r="V119" s="7" t="str">
        <f t="shared" si="3"/>
        <v>不明</v>
      </c>
      <c r="W119" s="8"/>
      <c r="X119" s="8" t="s">
        <v>670</v>
      </c>
      <c r="Y119" s="8" t="s">
        <v>1962</v>
      </c>
      <c r="Z119" s="8" t="s">
        <v>1963</v>
      </c>
      <c r="AA119" s="8" t="s">
        <v>1964</v>
      </c>
      <c r="AB119" s="8"/>
      <c r="AC119" s="8" t="s">
        <v>126</v>
      </c>
      <c r="AD119" s="8"/>
      <c r="AE119" s="8" t="s">
        <v>1965</v>
      </c>
      <c r="AF119" s="8" t="s">
        <v>182</v>
      </c>
      <c r="AG119" s="8" t="s">
        <v>677</v>
      </c>
      <c r="AH119" s="7" t="str">
        <f t="shared" si="4"/>
        <v>工期なし</v>
      </c>
      <c r="AI119" s="7"/>
      <c r="AJ119" s="13" t="s">
        <v>134</v>
      </c>
      <c r="AK119" s="13"/>
      <c r="AL119" s="13"/>
      <c r="AM119" s="14" t="s">
        <v>96</v>
      </c>
      <c r="AN119" s="7" t="s">
        <v>961</v>
      </c>
      <c r="AO119" s="7" t="s">
        <v>1968</v>
      </c>
    </row>
    <row r="120" ht="15.75" customHeight="1">
      <c r="A120" s="7">
        <v>119.0</v>
      </c>
      <c r="B120" s="7" t="s">
        <v>1969</v>
      </c>
      <c r="C120" s="7" t="s">
        <v>970</v>
      </c>
      <c r="D120" s="8" t="s">
        <v>99</v>
      </c>
      <c r="E120" s="8" t="s">
        <v>261</v>
      </c>
      <c r="F120" s="8" t="s">
        <v>591</v>
      </c>
      <c r="G120" s="8" t="s">
        <v>533</v>
      </c>
      <c r="H120" s="8" t="s">
        <v>1970</v>
      </c>
      <c r="I120" s="8" t="s">
        <v>1971</v>
      </c>
      <c r="J120" s="9">
        <v>1998.0</v>
      </c>
      <c r="K120" s="9">
        <v>1998.0</v>
      </c>
      <c r="L120" s="8" t="s">
        <v>1661</v>
      </c>
      <c r="M120" s="8" t="s">
        <v>1972</v>
      </c>
      <c r="N120" s="8" t="s">
        <v>1973</v>
      </c>
      <c r="O120" s="9">
        <v>5.729E8</v>
      </c>
      <c r="P120" s="8" t="s">
        <v>108</v>
      </c>
      <c r="Q120" s="12">
        <f t="shared" si="1"/>
        <v>57290</v>
      </c>
      <c r="R120" s="7" t="str">
        <f t="shared" si="2"/>
        <v>3,000万〜</v>
      </c>
      <c r="S120" s="8" t="s">
        <v>1974</v>
      </c>
      <c r="T120" s="9"/>
      <c r="U120" s="9">
        <v>18.0</v>
      </c>
      <c r="V120" s="7" t="str">
        <f t="shared" si="3"/>
        <v>13〜24ヶ月</v>
      </c>
      <c r="W120" s="8" t="s">
        <v>1976</v>
      </c>
      <c r="X120" s="8" t="s">
        <v>1977</v>
      </c>
      <c r="Y120" s="8" t="s">
        <v>1978</v>
      </c>
      <c r="Z120" s="8" t="s">
        <v>1979</v>
      </c>
      <c r="AA120" s="8" t="s">
        <v>1980</v>
      </c>
      <c r="AB120" s="8" t="s">
        <v>125</v>
      </c>
      <c r="AC120" s="8" t="s">
        <v>126</v>
      </c>
      <c r="AD120" s="8"/>
      <c r="AE120" s="8" t="s">
        <v>1981</v>
      </c>
      <c r="AF120" s="8" t="s">
        <v>182</v>
      </c>
      <c r="AG120" s="8" t="s">
        <v>413</v>
      </c>
      <c r="AH120" s="7" t="str">
        <f t="shared" si="4"/>
        <v/>
      </c>
      <c r="AI120" s="7"/>
      <c r="AJ120" s="13" t="s">
        <v>134</v>
      </c>
      <c r="AK120" s="13"/>
      <c r="AL120" s="13"/>
      <c r="AM120" s="14" t="s">
        <v>96</v>
      </c>
      <c r="AN120" s="7" t="s">
        <v>971</v>
      </c>
      <c r="AO120" s="7" t="s">
        <v>1983</v>
      </c>
    </row>
    <row r="121" ht="15.75" customHeight="1">
      <c r="A121" s="7">
        <v>120.0</v>
      </c>
      <c r="B121" s="7" t="s">
        <v>1984</v>
      </c>
      <c r="C121" s="7" t="s">
        <v>761</v>
      </c>
      <c r="D121" s="8" t="s">
        <v>99</v>
      </c>
      <c r="E121" s="8" t="s">
        <v>261</v>
      </c>
      <c r="F121" s="8" t="s">
        <v>1985</v>
      </c>
      <c r="G121" s="8" t="s">
        <v>1986</v>
      </c>
      <c r="H121" s="8" t="s">
        <v>1987</v>
      </c>
      <c r="I121" s="8" t="s">
        <v>1988</v>
      </c>
      <c r="J121" s="9">
        <v>1998.0</v>
      </c>
      <c r="K121" s="9">
        <v>1998.0</v>
      </c>
      <c r="L121" s="8" t="s">
        <v>1661</v>
      </c>
      <c r="M121" s="8" t="s">
        <v>1989</v>
      </c>
      <c r="N121" s="8" t="s">
        <v>1990</v>
      </c>
      <c r="O121" s="9">
        <v>4300000.0</v>
      </c>
      <c r="P121" s="8" t="s">
        <v>108</v>
      </c>
      <c r="Q121" s="12">
        <f t="shared" si="1"/>
        <v>430</v>
      </c>
      <c r="R121" s="7" t="str">
        <f t="shared" si="2"/>
        <v>〜500万</v>
      </c>
      <c r="S121" s="8" t="s">
        <v>1992</v>
      </c>
      <c r="T121" s="9"/>
      <c r="U121" s="9">
        <v>16.0</v>
      </c>
      <c r="V121" s="7" t="str">
        <f t="shared" si="3"/>
        <v>13〜24ヶ月</v>
      </c>
      <c r="W121" s="8" t="s">
        <v>1993</v>
      </c>
      <c r="X121" s="8" t="s">
        <v>1994</v>
      </c>
      <c r="Y121" s="8" t="s">
        <v>1995</v>
      </c>
      <c r="Z121" s="8" t="s">
        <v>1996</v>
      </c>
      <c r="AA121" s="8" t="s">
        <v>1997</v>
      </c>
      <c r="AB121" s="8" t="s">
        <v>125</v>
      </c>
      <c r="AC121" s="8" t="s">
        <v>126</v>
      </c>
      <c r="AD121" s="8"/>
      <c r="AE121" s="8" t="s">
        <v>1998</v>
      </c>
      <c r="AF121" s="8" t="s">
        <v>182</v>
      </c>
      <c r="AG121" s="8" t="s">
        <v>95</v>
      </c>
      <c r="AH121" s="7" t="str">
        <f t="shared" si="4"/>
        <v/>
      </c>
      <c r="AI121" s="7"/>
      <c r="AJ121" s="13" t="s">
        <v>134</v>
      </c>
      <c r="AK121" s="13"/>
      <c r="AL121" s="13"/>
      <c r="AM121" s="14" t="s">
        <v>96</v>
      </c>
      <c r="AN121" s="7" t="s">
        <v>985</v>
      </c>
      <c r="AO121" s="7" t="s">
        <v>2000</v>
      </c>
    </row>
    <row r="122" ht="15.75" customHeight="1">
      <c r="A122" s="7">
        <v>121.0</v>
      </c>
      <c r="B122" s="7" t="s">
        <v>2001</v>
      </c>
      <c r="C122" s="7" t="s">
        <v>990</v>
      </c>
      <c r="D122" s="8" t="s">
        <v>99</v>
      </c>
      <c r="E122" s="8" t="s">
        <v>261</v>
      </c>
      <c r="F122" s="8" t="s">
        <v>2002</v>
      </c>
      <c r="G122" s="8" t="s">
        <v>483</v>
      </c>
      <c r="H122" s="8" t="s">
        <v>2003</v>
      </c>
      <c r="I122" s="8" t="s">
        <v>2004</v>
      </c>
      <c r="J122" s="9">
        <v>1998.0</v>
      </c>
      <c r="K122" s="9">
        <v>1998.0</v>
      </c>
      <c r="L122" s="8" t="s">
        <v>105</v>
      </c>
      <c r="M122" s="8" t="s">
        <v>2005</v>
      </c>
      <c r="N122" s="8"/>
      <c r="O122" s="9">
        <v>1.401E8</v>
      </c>
      <c r="P122" s="8" t="s">
        <v>108</v>
      </c>
      <c r="Q122" s="12">
        <f t="shared" si="1"/>
        <v>14010</v>
      </c>
      <c r="R122" s="7" t="str">
        <f t="shared" si="2"/>
        <v>3,000万〜</v>
      </c>
      <c r="S122" s="8" t="s">
        <v>2007</v>
      </c>
      <c r="T122" s="9"/>
      <c r="U122" s="9"/>
      <c r="V122" s="7" t="str">
        <f t="shared" si="3"/>
        <v>不明</v>
      </c>
      <c r="W122" s="8"/>
      <c r="X122" s="8" t="s">
        <v>670</v>
      </c>
      <c r="Y122" s="8" t="s">
        <v>2008</v>
      </c>
      <c r="Z122" s="8" t="s">
        <v>2009</v>
      </c>
      <c r="AA122" s="8" t="s">
        <v>2010</v>
      </c>
      <c r="AB122" s="8"/>
      <c r="AC122" s="8" t="s">
        <v>126</v>
      </c>
      <c r="AD122" s="8"/>
      <c r="AE122" s="8" t="s">
        <v>2011</v>
      </c>
      <c r="AF122" s="8" t="s">
        <v>182</v>
      </c>
      <c r="AG122" s="8" t="s">
        <v>677</v>
      </c>
      <c r="AH122" s="7" t="str">
        <f t="shared" si="4"/>
        <v>工期なし</v>
      </c>
      <c r="AI122" s="7"/>
      <c r="AJ122" s="13" t="s">
        <v>134</v>
      </c>
      <c r="AK122" s="13"/>
      <c r="AL122" s="13"/>
      <c r="AM122" s="14" t="s">
        <v>96</v>
      </c>
      <c r="AN122" s="7" t="s">
        <v>992</v>
      </c>
      <c r="AO122" s="7" t="s">
        <v>2013</v>
      </c>
    </row>
    <row r="123" ht="15.75" customHeight="1">
      <c r="A123" s="7">
        <v>122.0</v>
      </c>
      <c r="B123" s="7" t="s">
        <v>2014</v>
      </c>
      <c r="C123" s="7" t="s">
        <v>1002</v>
      </c>
      <c r="D123" s="8" t="s">
        <v>99</v>
      </c>
      <c r="E123" s="8" t="s">
        <v>261</v>
      </c>
      <c r="F123" s="8" t="s">
        <v>2016</v>
      </c>
      <c r="G123" s="8" t="s">
        <v>2017</v>
      </c>
      <c r="H123" s="8" t="s">
        <v>2018</v>
      </c>
      <c r="I123" s="8" t="s">
        <v>2019</v>
      </c>
      <c r="J123" s="9">
        <v>1998.0</v>
      </c>
      <c r="K123" s="9">
        <v>1998.0</v>
      </c>
      <c r="L123" s="8" t="s">
        <v>105</v>
      </c>
      <c r="M123" s="8"/>
      <c r="N123" s="8" t="s">
        <v>2020</v>
      </c>
      <c r="O123" s="9">
        <v>5.909E8</v>
      </c>
      <c r="P123" s="8" t="s">
        <v>108</v>
      </c>
      <c r="Q123" s="12">
        <f t="shared" si="1"/>
        <v>59090</v>
      </c>
      <c r="R123" s="7" t="str">
        <f t="shared" si="2"/>
        <v>3,000万〜</v>
      </c>
      <c r="S123" s="8" t="s">
        <v>2021</v>
      </c>
      <c r="T123" s="9"/>
      <c r="U123" s="9"/>
      <c r="V123" s="7" t="str">
        <f t="shared" si="3"/>
        <v>不明</v>
      </c>
      <c r="W123" s="8"/>
      <c r="X123" s="8" t="s">
        <v>670</v>
      </c>
      <c r="Y123" s="8" t="s">
        <v>2022</v>
      </c>
      <c r="Z123" s="8" t="s">
        <v>2023</v>
      </c>
      <c r="AA123" s="8" t="s">
        <v>2024</v>
      </c>
      <c r="AB123" s="8"/>
      <c r="AC123" s="8" t="s">
        <v>126</v>
      </c>
      <c r="AD123" s="8"/>
      <c r="AE123" s="8" t="s">
        <v>2025</v>
      </c>
      <c r="AF123" s="8" t="s">
        <v>182</v>
      </c>
      <c r="AG123" s="8" t="s">
        <v>677</v>
      </c>
      <c r="AH123" s="7" t="str">
        <f t="shared" si="4"/>
        <v>工期なし</v>
      </c>
      <c r="AI123" s="7"/>
      <c r="AJ123" s="13" t="s">
        <v>134</v>
      </c>
      <c r="AK123" s="13"/>
      <c r="AL123" s="13"/>
      <c r="AM123" s="14" t="s">
        <v>96</v>
      </c>
      <c r="AN123" s="7" t="s">
        <v>1003</v>
      </c>
      <c r="AO123" s="7" t="s">
        <v>2028</v>
      </c>
    </row>
    <row r="124" ht="15.75" customHeight="1">
      <c r="A124" s="7">
        <v>123.0</v>
      </c>
      <c r="B124" s="7" t="s">
        <v>2029</v>
      </c>
      <c r="C124" s="7" t="s">
        <v>787</v>
      </c>
      <c r="D124" s="8" t="s">
        <v>99</v>
      </c>
      <c r="E124" s="8" t="s">
        <v>261</v>
      </c>
      <c r="F124" s="8" t="s">
        <v>2030</v>
      </c>
      <c r="G124" s="8" t="s">
        <v>784</v>
      </c>
      <c r="H124" s="8" t="s">
        <v>2031</v>
      </c>
      <c r="I124" s="8" t="s">
        <v>2032</v>
      </c>
      <c r="J124" s="9">
        <v>1998.0</v>
      </c>
      <c r="K124" s="9">
        <v>1998.0</v>
      </c>
      <c r="L124" s="8" t="s">
        <v>1661</v>
      </c>
      <c r="M124" s="8" t="s">
        <v>2033</v>
      </c>
      <c r="N124" s="8" t="s">
        <v>2034</v>
      </c>
      <c r="O124" s="9">
        <v>7600000.0</v>
      </c>
      <c r="P124" s="8" t="s">
        <v>108</v>
      </c>
      <c r="Q124" s="12">
        <f t="shared" si="1"/>
        <v>760</v>
      </c>
      <c r="R124" s="7" t="str">
        <f t="shared" si="2"/>
        <v>500〜1,000万</v>
      </c>
      <c r="S124" s="8" t="s">
        <v>2035</v>
      </c>
      <c r="T124" s="9"/>
      <c r="U124" s="9">
        <v>11.0</v>
      </c>
      <c r="V124" s="7" t="str">
        <f t="shared" si="3"/>
        <v>7〜12ヶ月</v>
      </c>
      <c r="W124" s="8" t="s">
        <v>2037</v>
      </c>
      <c r="X124" s="8" t="s">
        <v>2038</v>
      </c>
      <c r="Y124" s="8" t="s">
        <v>2039</v>
      </c>
      <c r="Z124" s="8" t="s">
        <v>2040</v>
      </c>
      <c r="AA124" s="8" t="s">
        <v>2041</v>
      </c>
      <c r="AB124" s="8" t="s">
        <v>125</v>
      </c>
      <c r="AC124" s="8" t="s">
        <v>293</v>
      </c>
      <c r="AD124" s="8"/>
      <c r="AE124" s="8" t="s">
        <v>2042</v>
      </c>
      <c r="AF124" s="8" t="s">
        <v>182</v>
      </c>
      <c r="AG124" s="8" t="s">
        <v>413</v>
      </c>
      <c r="AH124" s="7" t="str">
        <f t="shared" si="4"/>
        <v/>
      </c>
      <c r="AI124" s="7"/>
      <c r="AJ124" s="13" t="s">
        <v>134</v>
      </c>
      <c r="AK124" s="13"/>
      <c r="AL124" s="13"/>
      <c r="AM124" s="14" t="s">
        <v>96</v>
      </c>
      <c r="AN124" s="7" t="s">
        <v>1015</v>
      </c>
      <c r="AO124" s="7" t="s">
        <v>2044</v>
      </c>
    </row>
    <row r="125" ht="15.75" customHeight="1">
      <c r="A125" s="7">
        <v>124.0</v>
      </c>
      <c r="B125" s="7" t="s">
        <v>2045</v>
      </c>
      <c r="C125" s="7" t="s">
        <v>1023</v>
      </c>
      <c r="D125" s="8" t="s">
        <v>231</v>
      </c>
      <c r="E125" s="8" t="s">
        <v>211</v>
      </c>
      <c r="F125" s="8" t="s">
        <v>2046</v>
      </c>
      <c r="G125" s="8"/>
      <c r="H125" s="8" t="s">
        <v>2047</v>
      </c>
      <c r="I125" s="8" t="s">
        <v>2048</v>
      </c>
      <c r="J125" s="9">
        <v>1998.0</v>
      </c>
      <c r="K125" s="9"/>
      <c r="L125" s="8" t="s">
        <v>2049</v>
      </c>
      <c r="M125" s="8"/>
      <c r="N125" s="8"/>
      <c r="O125" s="9"/>
      <c r="P125" s="8" t="s">
        <v>131</v>
      </c>
      <c r="Q125" s="12" t="str">
        <f t="shared" si="1"/>
        <v/>
      </c>
      <c r="R125" s="7" t="str">
        <f t="shared" si="2"/>
        <v>不明</v>
      </c>
      <c r="S125" s="8" t="s">
        <v>2050</v>
      </c>
      <c r="T125" s="9"/>
      <c r="U125" s="9">
        <v>48.0</v>
      </c>
      <c r="V125" s="7" t="str">
        <f t="shared" si="3"/>
        <v>25ヶ月〜</v>
      </c>
      <c r="W125" s="8" t="s">
        <v>2051</v>
      </c>
      <c r="X125" s="8" t="s">
        <v>2052</v>
      </c>
      <c r="Y125" s="8" t="s">
        <v>2053</v>
      </c>
      <c r="Z125" s="8"/>
      <c r="AA125" s="8"/>
      <c r="AB125" s="8"/>
      <c r="AC125" s="8" t="s">
        <v>126</v>
      </c>
      <c r="AD125" s="8"/>
      <c r="AE125" s="8" t="s">
        <v>2054</v>
      </c>
      <c r="AF125" s="8" t="s">
        <v>128</v>
      </c>
      <c r="AG125" s="8" t="s">
        <v>185</v>
      </c>
      <c r="AH125" s="7" t="str">
        <f t="shared" si="4"/>
        <v/>
      </c>
      <c r="AI125" s="7"/>
      <c r="AJ125" s="13" t="s">
        <v>134</v>
      </c>
      <c r="AK125" s="13"/>
      <c r="AL125" s="13"/>
      <c r="AM125" s="14" t="s">
        <v>96</v>
      </c>
      <c r="AN125" s="7" t="s">
        <v>1024</v>
      </c>
      <c r="AO125" s="7" t="s">
        <v>2055</v>
      </c>
    </row>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O$125"/>
  <conditionalFormatting sqref="AH2:AH125">
    <cfRule type="expression" dxfId="0" priority="1">
      <formula>LEN(AH2)&gt;0</formula>
    </cfRule>
  </conditionalFormatting>
  <conditionalFormatting sqref="AI2:AI125">
    <cfRule type="expression" dxfId="0" priority="2">
      <formula>LEFT(AI2,2)="差異"</formula>
    </cfRule>
  </conditionalFormatting>
  <dataValidations>
    <dataValidation type="list" allowBlank="1" sqref="AJ2:AJ125">
      <formula1>"未確認,確認済,要修正"</formula1>
    </dataValidation>
  </dataValidations>
  <hyperlinks>
    <hyperlink r:id="rId2" ref="AM2"/>
    <hyperlink r:id="rId3" ref="AM3"/>
    <hyperlink r:id="rId4" ref="AM4"/>
    <hyperlink r:id="rId5" ref="AM5"/>
    <hyperlink r:id="rId6" ref="AM6"/>
    <hyperlink r:id="rId7" ref="AM7"/>
    <hyperlink r:id="rId8" ref="AM8"/>
    <hyperlink r:id="rId9" ref="AM9"/>
    <hyperlink r:id="rId10" ref="AM10"/>
    <hyperlink r:id="rId11" ref="AM11"/>
    <hyperlink r:id="rId12" ref="AM12"/>
    <hyperlink r:id="rId13" ref="AM13"/>
    <hyperlink r:id="rId14" ref="AM14"/>
    <hyperlink r:id="rId15" ref="AM15"/>
    <hyperlink r:id="rId16" ref="AM16"/>
    <hyperlink r:id="rId17" ref="AM17"/>
    <hyperlink r:id="rId18" ref="AM18"/>
    <hyperlink r:id="rId19" ref="AM19"/>
    <hyperlink r:id="rId20" ref="AM20"/>
    <hyperlink r:id="rId21" ref="AM21"/>
    <hyperlink r:id="rId22" ref="AM22"/>
    <hyperlink r:id="rId23" ref="AM23"/>
    <hyperlink r:id="rId24" ref="AM24"/>
    <hyperlink r:id="rId25" ref="AM25"/>
    <hyperlink r:id="rId26" ref="AM26"/>
    <hyperlink r:id="rId27" ref="AM27"/>
    <hyperlink r:id="rId28" ref="AM28"/>
    <hyperlink r:id="rId29" ref="AM29"/>
    <hyperlink r:id="rId30" ref="AM30"/>
    <hyperlink r:id="rId31" ref="AM31"/>
    <hyperlink r:id="rId32" ref="AM32"/>
    <hyperlink r:id="rId33" ref="AM33"/>
    <hyperlink r:id="rId34" ref="AM34"/>
    <hyperlink r:id="rId35" ref="AM35"/>
    <hyperlink r:id="rId36" ref="AM36"/>
    <hyperlink r:id="rId37" ref="AM37"/>
    <hyperlink r:id="rId38" ref="AM38"/>
    <hyperlink r:id="rId39" ref="AM39"/>
    <hyperlink r:id="rId40" ref="AM40"/>
    <hyperlink r:id="rId41" ref="AM41"/>
    <hyperlink r:id="rId42" ref="AM42"/>
    <hyperlink r:id="rId43" ref="AM43"/>
    <hyperlink r:id="rId44" ref="AM44"/>
    <hyperlink r:id="rId45" ref="AM45"/>
    <hyperlink r:id="rId46" ref="AM46"/>
    <hyperlink r:id="rId47" ref="AM47"/>
    <hyperlink r:id="rId48" ref="AM48"/>
    <hyperlink r:id="rId49" ref="AM49"/>
    <hyperlink r:id="rId50" ref="AM50"/>
    <hyperlink r:id="rId51" ref="AM51"/>
    <hyperlink r:id="rId52" ref="AM52"/>
    <hyperlink r:id="rId53" ref="AM53"/>
    <hyperlink r:id="rId54" ref="AM54"/>
    <hyperlink r:id="rId55" ref="AM55"/>
    <hyperlink r:id="rId56" ref="AM56"/>
    <hyperlink r:id="rId57" ref="AM57"/>
    <hyperlink r:id="rId58" ref="AM58"/>
    <hyperlink r:id="rId59" ref="AM59"/>
    <hyperlink r:id="rId60" ref="AM60"/>
    <hyperlink r:id="rId61" ref="AM61"/>
    <hyperlink r:id="rId62" ref="AM62"/>
    <hyperlink r:id="rId63" ref="AM63"/>
    <hyperlink r:id="rId64" ref="AM64"/>
    <hyperlink r:id="rId65" ref="AM65"/>
    <hyperlink r:id="rId66" ref="AM66"/>
    <hyperlink r:id="rId67" ref="AM67"/>
    <hyperlink r:id="rId68" ref="AM68"/>
    <hyperlink r:id="rId69" ref="AM69"/>
    <hyperlink r:id="rId70" ref="AM70"/>
    <hyperlink r:id="rId71" ref="AM71"/>
    <hyperlink r:id="rId72" ref="AM72"/>
    <hyperlink r:id="rId73" ref="AM73"/>
    <hyperlink r:id="rId74" ref="AM74"/>
    <hyperlink r:id="rId75" ref="AM75"/>
    <hyperlink r:id="rId76" ref="AM76"/>
    <hyperlink r:id="rId77" ref="AM77"/>
    <hyperlink r:id="rId78" ref="AM78"/>
    <hyperlink r:id="rId79" ref="AM79"/>
    <hyperlink r:id="rId80" ref="AM80"/>
    <hyperlink r:id="rId81" ref="AM81"/>
    <hyperlink r:id="rId82" ref="AM82"/>
    <hyperlink r:id="rId83" ref="AM83"/>
    <hyperlink r:id="rId84" ref="AM84"/>
    <hyperlink r:id="rId85" ref="AM85"/>
    <hyperlink r:id="rId86" ref="AM86"/>
    <hyperlink r:id="rId87" ref="AM87"/>
    <hyperlink r:id="rId88" ref="AM88"/>
    <hyperlink r:id="rId89" ref="AM89"/>
    <hyperlink r:id="rId90" ref="AM90"/>
    <hyperlink r:id="rId91" ref="AM91"/>
    <hyperlink r:id="rId92" ref="AM92"/>
    <hyperlink r:id="rId93" ref="AM93"/>
    <hyperlink r:id="rId94" ref="AM94"/>
    <hyperlink r:id="rId95" ref="AM95"/>
    <hyperlink r:id="rId96" ref="AM96"/>
    <hyperlink r:id="rId97" ref="AM97"/>
    <hyperlink r:id="rId98" ref="AM98"/>
    <hyperlink r:id="rId99" ref="AM99"/>
    <hyperlink r:id="rId100" ref="AM100"/>
    <hyperlink r:id="rId101" ref="AM101"/>
    <hyperlink r:id="rId102" ref="AM102"/>
    <hyperlink r:id="rId103" ref="AM103"/>
    <hyperlink r:id="rId104" ref="AM104"/>
    <hyperlink r:id="rId105" ref="AM105"/>
    <hyperlink r:id="rId106" ref="AM106"/>
    <hyperlink r:id="rId107" ref="AM107"/>
    <hyperlink r:id="rId108" ref="AM108"/>
    <hyperlink r:id="rId109" ref="AM109"/>
    <hyperlink r:id="rId110" ref="AM110"/>
    <hyperlink r:id="rId111" ref="AM111"/>
    <hyperlink r:id="rId112" ref="AM112"/>
    <hyperlink r:id="rId113" ref="AM113"/>
    <hyperlink r:id="rId114" ref="AM114"/>
    <hyperlink r:id="rId115" ref="AM115"/>
    <hyperlink r:id="rId116" ref="AM116"/>
    <hyperlink r:id="rId117" ref="AM117"/>
    <hyperlink r:id="rId118" ref="AM118"/>
    <hyperlink r:id="rId119" ref="AM119"/>
    <hyperlink r:id="rId120" ref="AM120"/>
    <hyperlink r:id="rId121" ref="AM121"/>
    <hyperlink r:id="rId122" ref="AM122"/>
    <hyperlink r:id="rId123" ref="AM123"/>
    <hyperlink r:id="rId124" ref="AM124"/>
    <hyperlink r:id="rId125" ref="AM125"/>
  </hyperlinks>
  <printOptions/>
  <pageMargins bottom="1.0" footer="0.0" header="0.0" left="0.75" right="0.75" top="1.0"/>
  <pageSetup orientation="landscape"/>
  <drawing r:id="rId126"/>
  <legacyDrawing r:id="rId12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0"/>
    <col customWidth="1" min="2" max="2" width="90.0"/>
    <col customWidth="1" min="3" max="26" width="8.71"/>
  </cols>
  <sheetData>
    <row r="1">
      <c r="A1" s="1" t="s">
        <v>1</v>
      </c>
    </row>
    <row r="2">
      <c r="A2" s="3" t="s">
        <v>4</v>
      </c>
      <c r="B2" s="3" t="s">
        <v>5</v>
      </c>
    </row>
    <row r="3">
      <c r="A3" s="3" t="s">
        <v>6</v>
      </c>
      <c r="B3" s="3" t="s">
        <v>7</v>
      </c>
    </row>
    <row r="4">
      <c r="A4" s="3" t="s">
        <v>9</v>
      </c>
      <c r="B4" s="3" t="s">
        <v>11</v>
      </c>
    </row>
    <row r="5">
      <c r="A5" s="3"/>
      <c r="B5" s="3"/>
    </row>
    <row r="6">
      <c r="A6" s="5" t="s">
        <v>12</v>
      </c>
      <c r="B6" s="5" t="s">
        <v>13</v>
      </c>
    </row>
    <row r="7">
      <c r="A7" s="3" t="s">
        <v>14</v>
      </c>
      <c r="B7" s="3" t="s">
        <v>15</v>
      </c>
    </row>
    <row r="8">
      <c r="A8" s="3" t="s">
        <v>17</v>
      </c>
      <c r="B8" s="3" t="s">
        <v>18</v>
      </c>
    </row>
    <row r="9">
      <c r="A9" s="3" t="s">
        <v>19</v>
      </c>
      <c r="B9" s="3" t="s">
        <v>20</v>
      </c>
    </row>
    <row r="10">
      <c r="A10" s="3" t="s">
        <v>21</v>
      </c>
      <c r="B10" s="3" t="s">
        <v>22</v>
      </c>
    </row>
    <row r="11">
      <c r="A11" s="3" t="s">
        <v>23</v>
      </c>
      <c r="B11" s="3" t="s">
        <v>24</v>
      </c>
    </row>
    <row r="12">
      <c r="A12" s="3"/>
      <c r="B12" s="3"/>
    </row>
    <row r="13">
      <c r="A13" s="5" t="s">
        <v>27</v>
      </c>
      <c r="B13" s="3"/>
    </row>
    <row r="14">
      <c r="A14" s="3" t="s">
        <v>30</v>
      </c>
      <c r="B14" s="3" t="s">
        <v>31</v>
      </c>
    </row>
    <row r="15">
      <c r="A15" s="3" t="s">
        <v>33</v>
      </c>
      <c r="B15" s="3" t="s">
        <v>35</v>
      </c>
    </row>
    <row r="16">
      <c r="A16" s="3" t="s">
        <v>37</v>
      </c>
      <c r="B16" s="3" t="s">
        <v>39</v>
      </c>
    </row>
    <row r="17">
      <c r="A17" s="3" t="s">
        <v>40</v>
      </c>
      <c r="B17" s="3" t="s">
        <v>42</v>
      </c>
    </row>
    <row r="18">
      <c r="A18" s="3" t="s">
        <v>44</v>
      </c>
      <c r="B18" s="3" t="s">
        <v>45</v>
      </c>
    </row>
    <row r="19">
      <c r="A19" s="3" t="s">
        <v>47</v>
      </c>
      <c r="B19" s="3" t="s">
        <v>48</v>
      </c>
    </row>
    <row r="20">
      <c r="A20" s="3" t="s">
        <v>50</v>
      </c>
      <c r="B20" s="3" t="s">
        <v>51</v>
      </c>
    </row>
    <row r="21" ht="15.75" customHeight="1">
      <c r="A21" s="3" t="s">
        <v>53</v>
      </c>
      <c r="B21" s="3" t="s">
        <v>55</v>
      </c>
    </row>
    <row r="22" ht="15.75" customHeight="1"/>
    <row r="23" ht="15.75" customHeight="1">
      <c r="A23" s="5" t="s">
        <v>57</v>
      </c>
      <c r="B23" s="3"/>
    </row>
    <row r="24" ht="15.75" customHeight="1">
      <c r="A24" s="3" t="s">
        <v>26</v>
      </c>
      <c r="B24" s="3" t="s">
        <v>58</v>
      </c>
    </row>
    <row r="25" ht="15.75" customHeight="1">
      <c r="A25" s="3" t="s">
        <v>59</v>
      </c>
      <c r="B25" s="3" t="s">
        <v>60</v>
      </c>
    </row>
    <row r="26" ht="15.75" customHeight="1">
      <c r="A26" s="3" t="s">
        <v>61</v>
      </c>
      <c r="B26" s="3" t="s">
        <v>62</v>
      </c>
    </row>
    <row r="27" ht="15.75" customHeight="1">
      <c r="A27" s="3" t="s">
        <v>63</v>
      </c>
      <c r="B27" s="3" t="s">
        <v>64</v>
      </c>
    </row>
    <row r="28" ht="15.75" customHeight="1">
      <c r="A28" s="3" t="s">
        <v>66</v>
      </c>
      <c r="B28" s="3" t="s">
        <v>68</v>
      </c>
    </row>
    <row r="29" ht="15.75" customHeight="1">
      <c r="A29" s="3" t="s">
        <v>69</v>
      </c>
      <c r="B29" s="3" t="s">
        <v>70</v>
      </c>
    </row>
    <row r="30" ht="15.75" customHeight="1">
      <c r="A30" s="3" t="s">
        <v>71</v>
      </c>
      <c r="B30" s="3" t="s">
        <v>73</v>
      </c>
    </row>
    <row r="31" ht="15.75" customHeight="1">
      <c r="A31" s="3" t="s">
        <v>75</v>
      </c>
      <c r="B31" s="3" t="s">
        <v>77</v>
      </c>
    </row>
    <row r="32" ht="15.75" customHeight="1">
      <c r="A32" s="3" t="s">
        <v>79</v>
      </c>
      <c r="B32" s="3" t="s">
        <v>80</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0"/>
    <col customWidth="1" min="2" max="3" width="36.0"/>
    <col customWidth="1" min="4" max="4" width="60.0"/>
    <col customWidth="1" min="5" max="5" width="10.0"/>
    <col customWidth="1" min="6" max="26" width="8.71"/>
  </cols>
  <sheetData>
    <row r="1">
      <c r="A1" s="2" t="s">
        <v>3</v>
      </c>
      <c r="B1" s="2" t="s">
        <v>26</v>
      </c>
      <c r="C1" s="2" t="s">
        <v>86</v>
      </c>
      <c r="D1" s="2" t="s">
        <v>88</v>
      </c>
      <c r="E1" s="2" t="s">
        <v>89</v>
      </c>
    </row>
    <row r="2">
      <c r="A2" s="3">
        <v>6.0</v>
      </c>
      <c r="B2" s="3" t="s">
        <v>93</v>
      </c>
      <c r="C2" s="3" t="s">
        <v>94</v>
      </c>
      <c r="D2" s="3" t="s">
        <v>95</v>
      </c>
      <c r="E2" s="11" t="s">
        <v>96</v>
      </c>
    </row>
    <row r="3">
      <c r="A3" s="3">
        <v>7.0</v>
      </c>
      <c r="B3" s="3" t="s">
        <v>93</v>
      </c>
      <c r="C3" s="3" t="s">
        <v>110</v>
      </c>
      <c r="D3" s="3" t="s">
        <v>111</v>
      </c>
      <c r="E3" s="11" t="s">
        <v>96</v>
      </c>
    </row>
    <row r="4">
      <c r="A4" s="3">
        <v>10.0</v>
      </c>
      <c r="B4" s="3" t="s">
        <v>113</v>
      </c>
      <c r="C4" s="3" t="s">
        <v>114</v>
      </c>
      <c r="D4" s="3" t="s">
        <v>115</v>
      </c>
      <c r="E4" s="11" t="s">
        <v>96</v>
      </c>
    </row>
    <row r="5">
      <c r="A5" s="3">
        <v>11.0</v>
      </c>
      <c r="B5" s="3" t="s">
        <v>117</v>
      </c>
      <c r="C5" s="3" t="s">
        <v>118</v>
      </c>
      <c r="D5" s="3" t="s">
        <v>95</v>
      </c>
      <c r="E5" s="11" t="s">
        <v>96</v>
      </c>
    </row>
    <row r="6">
      <c r="A6" s="3">
        <v>13.0</v>
      </c>
      <c r="B6" s="3" t="s">
        <v>129</v>
      </c>
      <c r="C6" s="3" t="s">
        <v>130</v>
      </c>
      <c r="D6" s="3" t="s">
        <v>115</v>
      </c>
      <c r="E6" s="11" t="s">
        <v>96</v>
      </c>
    </row>
    <row r="7">
      <c r="A7" s="3">
        <v>14.0</v>
      </c>
      <c r="B7" s="3" t="s">
        <v>132</v>
      </c>
      <c r="C7" s="3" t="s">
        <v>133</v>
      </c>
      <c r="D7" s="3" t="s">
        <v>95</v>
      </c>
      <c r="E7" s="11" t="s">
        <v>96</v>
      </c>
    </row>
    <row r="8">
      <c r="A8" s="3">
        <v>16.0</v>
      </c>
      <c r="B8" s="3" t="s">
        <v>135</v>
      </c>
      <c r="C8" s="3" t="s">
        <v>136</v>
      </c>
      <c r="D8" s="3" t="s">
        <v>95</v>
      </c>
      <c r="E8" s="11" t="s">
        <v>96</v>
      </c>
    </row>
    <row r="9">
      <c r="A9" s="3">
        <v>18.0</v>
      </c>
      <c r="B9" s="3" t="s">
        <v>146</v>
      </c>
      <c r="C9" s="3" t="s">
        <v>148</v>
      </c>
      <c r="D9" s="3" t="s">
        <v>95</v>
      </c>
      <c r="E9" s="11" t="s">
        <v>96</v>
      </c>
    </row>
    <row r="10">
      <c r="A10" s="3">
        <v>19.0</v>
      </c>
      <c r="B10" s="3" t="s">
        <v>181</v>
      </c>
      <c r="C10" s="3" t="s">
        <v>183</v>
      </c>
      <c r="D10" s="3" t="s">
        <v>185</v>
      </c>
      <c r="E10" s="11" t="s">
        <v>96</v>
      </c>
    </row>
    <row r="11">
      <c r="A11" s="3">
        <v>21.0</v>
      </c>
      <c r="B11" s="3" t="s">
        <v>204</v>
      </c>
      <c r="C11" s="3" t="s">
        <v>206</v>
      </c>
      <c r="D11" s="3" t="s">
        <v>95</v>
      </c>
      <c r="E11" s="11" t="s">
        <v>96</v>
      </c>
    </row>
    <row r="12">
      <c r="A12" s="3">
        <v>22.0</v>
      </c>
      <c r="B12" s="3" t="s">
        <v>227</v>
      </c>
      <c r="C12" s="3" t="s">
        <v>228</v>
      </c>
      <c r="D12" s="3" t="s">
        <v>95</v>
      </c>
      <c r="E12" s="11" t="s">
        <v>96</v>
      </c>
    </row>
    <row r="13">
      <c r="A13" s="3">
        <v>24.0</v>
      </c>
      <c r="B13" s="3" t="s">
        <v>233</v>
      </c>
      <c r="C13" s="3" t="s">
        <v>235</v>
      </c>
      <c r="D13" s="3" t="s">
        <v>95</v>
      </c>
      <c r="E13" s="11" t="s">
        <v>96</v>
      </c>
    </row>
    <row r="14">
      <c r="A14" s="3">
        <v>25.0</v>
      </c>
      <c r="B14" s="3" t="s">
        <v>243</v>
      </c>
      <c r="C14" s="3" t="s">
        <v>244</v>
      </c>
      <c r="D14" s="3" t="s">
        <v>245</v>
      </c>
      <c r="E14" s="11" t="s">
        <v>96</v>
      </c>
    </row>
    <row r="15">
      <c r="A15" s="3">
        <v>26.0</v>
      </c>
      <c r="B15" s="3" t="s">
        <v>255</v>
      </c>
      <c r="C15" s="3" t="s">
        <v>256</v>
      </c>
      <c r="D15" s="3" t="s">
        <v>257</v>
      </c>
      <c r="E15" s="11" t="s">
        <v>96</v>
      </c>
    </row>
    <row r="16">
      <c r="A16" s="3">
        <v>27.0</v>
      </c>
      <c r="B16" s="3" t="s">
        <v>273</v>
      </c>
      <c r="C16" s="3" t="s">
        <v>275</v>
      </c>
      <c r="D16" s="3" t="s">
        <v>95</v>
      </c>
      <c r="E16" s="11" t="s">
        <v>96</v>
      </c>
    </row>
    <row r="17">
      <c r="A17" s="3">
        <v>28.0</v>
      </c>
      <c r="B17" s="3" t="s">
        <v>279</v>
      </c>
      <c r="C17" s="3" t="s">
        <v>280</v>
      </c>
      <c r="D17" s="3" t="s">
        <v>95</v>
      </c>
      <c r="E17" s="11" t="s">
        <v>96</v>
      </c>
    </row>
    <row r="18">
      <c r="A18" s="3">
        <v>29.0</v>
      </c>
      <c r="B18" s="3" t="s">
        <v>292</v>
      </c>
      <c r="C18" s="3" t="s">
        <v>294</v>
      </c>
      <c r="D18" s="3" t="s">
        <v>295</v>
      </c>
      <c r="E18" s="11" t="s">
        <v>96</v>
      </c>
    </row>
    <row r="19">
      <c r="A19" s="3">
        <v>30.0</v>
      </c>
      <c r="B19" s="3" t="s">
        <v>297</v>
      </c>
      <c r="C19" s="3" t="s">
        <v>298</v>
      </c>
      <c r="D19" s="3" t="s">
        <v>299</v>
      </c>
      <c r="E19" s="11" t="s">
        <v>96</v>
      </c>
    </row>
    <row r="20">
      <c r="A20" s="3">
        <v>31.0</v>
      </c>
      <c r="B20" s="3" t="s">
        <v>305</v>
      </c>
      <c r="C20" s="3" t="s">
        <v>306</v>
      </c>
      <c r="D20" s="3" t="s">
        <v>95</v>
      </c>
      <c r="E20" s="11" t="s">
        <v>96</v>
      </c>
    </row>
    <row r="21" ht="15.75" customHeight="1">
      <c r="A21" s="3">
        <v>33.0</v>
      </c>
      <c r="B21" s="3" t="s">
        <v>308</v>
      </c>
      <c r="C21" s="3" t="s">
        <v>309</v>
      </c>
      <c r="D21" s="3" t="s">
        <v>310</v>
      </c>
      <c r="E21" s="11" t="s">
        <v>96</v>
      </c>
    </row>
    <row r="22" ht="15.75" customHeight="1">
      <c r="A22" s="3">
        <v>37.0</v>
      </c>
      <c r="B22" s="3" t="s">
        <v>314</v>
      </c>
      <c r="C22" s="3" t="s">
        <v>315</v>
      </c>
      <c r="D22" s="3" t="s">
        <v>185</v>
      </c>
      <c r="E22" s="11" t="s">
        <v>96</v>
      </c>
    </row>
    <row r="23" ht="15.75" customHeight="1">
      <c r="A23" s="3">
        <v>38.0</v>
      </c>
      <c r="B23" s="3" t="s">
        <v>324</v>
      </c>
      <c r="C23" s="3" t="s">
        <v>327</v>
      </c>
      <c r="D23" s="3" t="s">
        <v>185</v>
      </c>
      <c r="E23" s="11" t="s">
        <v>96</v>
      </c>
    </row>
    <row r="24" ht="15.75" customHeight="1">
      <c r="A24" s="3">
        <v>39.0</v>
      </c>
      <c r="B24" s="3" t="s">
        <v>330</v>
      </c>
      <c r="C24" s="3" t="s">
        <v>332</v>
      </c>
      <c r="D24" s="3" t="s">
        <v>336</v>
      </c>
      <c r="E24" s="11" t="s">
        <v>96</v>
      </c>
    </row>
    <row r="25" ht="15.75" customHeight="1">
      <c r="A25" s="3">
        <v>43.0</v>
      </c>
      <c r="B25" s="3" t="s">
        <v>347</v>
      </c>
      <c r="C25" s="3" t="s">
        <v>348</v>
      </c>
      <c r="D25" s="3" t="s">
        <v>349</v>
      </c>
      <c r="E25" s="11" t="s">
        <v>96</v>
      </c>
    </row>
    <row r="26" ht="15.75" customHeight="1">
      <c r="A26" s="3">
        <v>44.0</v>
      </c>
      <c r="B26" s="3" t="s">
        <v>347</v>
      </c>
      <c r="C26" s="3" t="s">
        <v>350</v>
      </c>
      <c r="D26" s="3" t="s">
        <v>349</v>
      </c>
      <c r="E26" s="11" t="s">
        <v>96</v>
      </c>
    </row>
    <row r="27" ht="15.75" customHeight="1">
      <c r="A27" s="3">
        <v>45.0</v>
      </c>
      <c r="B27" s="3" t="s">
        <v>347</v>
      </c>
      <c r="C27" s="3" t="s">
        <v>359</v>
      </c>
      <c r="D27" s="3" t="s">
        <v>349</v>
      </c>
      <c r="E27" s="11" t="s">
        <v>96</v>
      </c>
    </row>
    <row r="28" ht="15.75" customHeight="1">
      <c r="A28" s="3">
        <v>47.0</v>
      </c>
      <c r="B28" s="3" t="s">
        <v>365</v>
      </c>
      <c r="C28" s="3" t="s">
        <v>367</v>
      </c>
      <c r="D28" s="3" t="s">
        <v>369</v>
      </c>
      <c r="E28" s="11" t="s">
        <v>96</v>
      </c>
    </row>
    <row r="29" ht="15.75" customHeight="1">
      <c r="A29" s="3">
        <v>48.0</v>
      </c>
      <c r="B29" s="3" t="s">
        <v>371</v>
      </c>
      <c r="C29" s="3" t="s">
        <v>372</v>
      </c>
      <c r="D29" s="3" t="s">
        <v>95</v>
      </c>
      <c r="E29" s="11" t="s">
        <v>96</v>
      </c>
    </row>
    <row r="30" ht="15.75" customHeight="1">
      <c r="A30" s="3">
        <v>53.0</v>
      </c>
      <c r="B30" s="3" t="s">
        <v>384</v>
      </c>
      <c r="C30" s="3" t="s">
        <v>385</v>
      </c>
      <c r="D30" s="3" t="s">
        <v>95</v>
      </c>
      <c r="E30" s="11" t="s">
        <v>96</v>
      </c>
    </row>
    <row r="31" ht="15.75" customHeight="1">
      <c r="A31" s="3">
        <v>54.0</v>
      </c>
      <c r="B31" s="3" t="s">
        <v>393</v>
      </c>
      <c r="C31" s="3" t="s">
        <v>395</v>
      </c>
      <c r="D31" s="3" t="s">
        <v>95</v>
      </c>
      <c r="E31" s="11" t="s">
        <v>96</v>
      </c>
    </row>
    <row r="32" ht="15.75" customHeight="1">
      <c r="A32" s="3">
        <v>55.0</v>
      </c>
      <c r="B32" s="3" t="s">
        <v>393</v>
      </c>
      <c r="C32" s="3" t="s">
        <v>412</v>
      </c>
      <c r="D32" s="3" t="s">
        <v>413</v>
      </c>
      <c r="E32" s="11" t="s">
        <v>96</v>
      </c>
    </row>
    <row r="33" ht="15.75" customHeight="1">
      <c r="A33" s="3">
        <v>57.0</v>
      </c>
      <c r="B33" s="3" t="s">
        <v>424</v>
      </c>
      <c r="C33" s="3" t="s">
        <v>425</v>
      </c>
      <c r="D33" s="3" t="s">
        <v>426</v>
      </c>
      <c r="E33" s="11" t="s">
        <v>96</v>
      </c>
    </row>
    <row r="34" ht="15.75" customHeight="1">
      <c r="A34" s="3">
        <v>58.0</v>
      </c>
      <c r="B34" s="3" t="s">
        <v>439</v>
      </c>
      <c r="C34" s="3" t="s">
        <v>440</v>
      </c>
      <c r="D34" s="3" t="s">
        <v>95</v>
      </c>
      <c r="E34" s="11" t="s">
        <v>96</v>
      </c>
    </row>
    <row r="35" ht="15.75" customHeight="1">
      <c r="A35" s="3">
        <v>59.0</v>
      </c>
      <c r="B35" s="3" t="s">
        <v>451</v>
      </c>
      <c r="C35" s="3" t="s">
        <v>453</v>
      </c>
      <c r="D35" s="3" t="s">
        <v>95</v>
      </c>
      <c r="E35" s="11" t="s">
        <v>96</v>
      </c>
    </row>
    <row r="36" ht="15.75" customHeight="1">
      <c r="A36" s="3">
        <v>60.0</v>
      </c>
      <c r="B36" s="3" t="s">
        <v>456</v>
      </c>
      <c r="C36" s="3" t="s">
        <v>457</v>
      </c>
      <c r="D36" s="3" t="s">
        <v>95</v>
      </c>
      <c r="E36" s="11" t="s">
        <v>96</v>
      </c>
    </row>
    <row r="37" ht="15.75" customHeight="1">
      <c r="A37" s="3">
        <v>61.0</v>
      </c>
      <c r="B37" s="3" t="s">
        <v>474</v>
      </c>
      <c r="C37" s="3" t="s">
        <v>475</v>
      </c>
      <c r="D37" s="3" t="s">
        <v>95</v>
      </c>
      <c r="E37" s="11" t="s">
        <v>96</v>
      </c>
    </row>
    <row r="38" ht="15.75" customHeight="1">
      <c r="A38" s="3">
        <v>63.0</v>
      </c>
      <c r="B38" s="3" t="s">
        <v>480</v>
      </c>
      <c r="C38" s="3" t="s">
        <v>482</v>
      </c>
      <c r="D38" s="3" t="s">
        <v>95</v>
      </c>
      <c r="E38" s="11" t="s">
        <v>96</v>
      </c>
    </row>
    <row r="39" ht="15.75" customHeight="1">
      <c r="A39" s="3">
        <v>64.0</v>
      </c>
      <c r="B39" s="3" t="s">
        <v>480</v>
      </c>
      <c r="C39" s="3" t="s">
        <v>501</v>
      </c>
      <c r="D39" s="3" t="s">
        <v>369</v>
      </c>
      <c r="E39" s="11" t="s">
        <v>96</v>
      </c>
    </row>
    <row r="40" ht="15.75" customHeight="1">
      <c r="A40" s="3">
        <v>65.0</v>
      </c>
      <c r="B40" s="3" t="s">
        <v>506</v>
      </c>
      <c r="C40" s="3" t="s">
        <v>507</v>
      </c>
      <c r="D40" s="3" t="s">
        <v>95</v>
      </c>
      <c r="E40" s="11" t="s">
        <v>96</v>
      </c>
    </row>
    <row r="41" ht="15.75" customHeight="1">
      <c r="A41" s="3">
        <v>66.0</v>
      </c>
      <c r="B41" s="3" t="s">
        <v>506</v>
      </c>
      <c r="C41" s="3" t="s">
        <v>509</v>
      </c>
      <c r="D41" s="3" t="s">
        <v>426</v>
      </c>
      <c r="E41" s="11" t="s">
        <v>96</v>
      </c>
    </row>
    <row r="42" ht="15.75" customHeight="1">
      <c r="A42" s="3">
        <v>67.0</v>
      </c>
      <c r="B42" s="3" t="s">
        <v>528</v>
      </c>
      <c r="C42" s="3" t="s">
        <v>529</v>
      </c>
      <c r="D42" s="3" t="s">
        <v>413</v>
      </c>
      <c r="E42" s="11" t="s">
        <v>96</v>
      </c>
    </row>
    <row r="43" ht="15.75" customHeight="1">
      <c r="A43" s="3">
        <v>68.0</v>
      </c>
      <c r="B43" s="3" t="s">
        <v>536</v>
      </c>
      <c r="C43" s="3" t="s">
        <v>537</v>
      </c>
      <c r="D43" s="3" t="s">
        <v>413</v>
      </c>
      <c r="E43" s="11" t="s">
        <v>96</v>
      </c>
    </row>
    <row r="44" ht="15.75" customHeight="1">
      <c r="A44" s="3">
        <v>69.0</v>
      </c>
      <c r="B44" s="3" t="s">
        <v>549</v>
      </c>
      <c r="C44" s="3" t="s">
        <v>550</v>
      </c>
      <c r="D44" s="3" t="s">
        <v>369</v>
      </c>
      <c r="E44" s="11" t="s">
        <v>96</v>
      </c>
    </row>
    <row r="45" ht="15.75" customHeight="1">
      <c r="A45" s="3">
        <v>70.0</v>
      </c>
      <c r="B45" s="3" t="s">
        <v>570</v>
      </c>
      <c r="C45" s="3" t="s">
        <v>571</v>
      </c>
      <c r="D45" s="3" t="s">
        <v>413</v>
      </c>
      <c r="E45" s="11" t="s">
        <v>96</v>
      </c>
    </row>
    <row r="46" ht="15.75" customHeight="1">
      <c r="A46" s="3">
        <v>71.0</v>
      </c>
      <c r="B46" s="3" t="s">
        <v>580</v>
      </c>
      <c r="C46" s="3" t="s">
        <v>581</v>
      </c>
      <c r="D46" s="3" t="s">
        <v>95</v>
      </c>
      <c r="E46" s="11" t="s">
        <v>96</v>
      </c>
    </row>
    <row r="47" ht="15.75" customHeight="1">
      <c r="A47" s="3">
        <v>72.0</v>
      </c>
      <c r="B47" s="3" t="s">
        <v>586</v>
      </c>
      <c r="C47" s="3" t="s">
        <v>587</v>
      </c>
      <c r="D47" s="3" t="s">
        <v>369</v>
      </c>
      <c r="E47" s="11" t="s">
        <v>96</v>
      </c>
    </row>
    <row r="48" ht="15.75" customHeight="1">
      <c r="A48" s="3">
        <v>73.0</v>
      </c>
      <c r="B48" s="3" t="s">
        <v>596</v>
      </c>
      <c r="C48" s="3" t="s">
        <v>597</v>
      </c>
      <c r="D48" s="3" t="s">
        <v>185</v>
      </c>
      <c r="E48" s="11" t="s">
        <v>96</v>
      </c>
    </row>
    <row r="49" ht="15.75" customHeight="1">
      <c r="A49" s="3">
        <v>74.0</v>
      </c>
      <c r="B49" s="3" t="s">
        <v>607</v>
      </c>
      <c r="C49" s="3" t="s">
        <v>608</v>
      </c>
      <c r="D49" s="3" t="s">
        <v>609</v>
      </c>
      <c r="E49" s="11" t="s">
        <v>96</v>
      </c>
    </row>
    <row r="50" ht="15.75" customHeight="1">
      <c r="A50" s="3">
        <v>75.0</v>
      </c>
      <c r="B50" s="3" t="s">
        <v>607</v>
      </c>
      <c r="C50" s="3" t="s">
        <v>614</v>
      </c>
      <c r="D50" s="3" t="s">
        <v>616</v>
      </c>
      <c r="E50" s="11" t="s">
        <v>96</v>
      </c>
    </row>
    <row r="51" ht="15.75" customHeight="1">
      <c r="A51" s="3">
        <v>77.0</v>
      </c>
      <c r="B51" s="3" t="s">
        <v>620</v>
      </c>
      <c r="C51" s="3" t="s">
        <v>623</v>
      </c>
      <c r="D51" s="3" t="s">
        <v>625</v>
      </c>
      <c r="E51" s="11" t="s">
        <v>96</v>
      </c>
    </row>
    <row r="52" ht="15.75" customHeight="1">
      <c r="A52" s="3">
        <v>78.0</v>
      </c>
      <c r="B52" s="3" t="s">
        <v>637</v>
      </c>
      <c r="C52" s="3" t="s">
        <v>638</v>
      </c>
      <c r="D52" s="3" t="s">
        <v>413</v>
      </c>
      <c r="E52" s="11" t="s">
        <v>96</v>
      </c>
    </row>
    <row r="53" ht="15.75" customHeight="1">
      <c r="A53" s="3">
        <v>79.0</v>
      </c>
      <c r="B53" s="3" t="s">
        <v>645</v>
      </c>
      <c r="C53" s="3" t="s">
        <v>646</v>
      </c>
      <c r="D53" s="3" t="s">
        <v>95</v>
      </c>
      <c r="E53" s="11" t="s">
        <v>96</v>
      </c>
    </row>
    <row r="54" ht="15.75" customHeight="1">
      <c r="A54" s="3">
        <v>80.0</v>
      </c>
      <c r="B54" s="3" t="s">
        <v>654</v>
      </c>
      <c r="C54" s="3" t="s">
        <v>655</v>
      </c>
      <c r="D54" s="3" t="s">
        <v>95</v>
      </c>
      <c r="E54" s="11" t="s">
        <v>96</v>
      </c>
    </row>
    <row r="55" ht="15.75" customHeight="1">
      <c r="A55" s="3">
        <v>81.0</v>
      </c>
      <c r="B55" s="3" t="s">
        <v>658</v>
      </c>
      <c r="C55" s="3" t="s">
        <v>659</v>
      </c>
      <c r="D55" s="3" t="s">
        <v>95</v>
      </c>
      <c r="E55" s="11" t="s">
        <v>96</v>
      </c>
    </row>
    <row r="56" ht="15.75" customHeight="1">
      <c r="A56" s="3">
        <v>82.0</v>
      </c>
      <c r="B56" s="3" t="s">
        <v>662</v>
      </c>
      <c r="C56" s="3" t="s">
        <v>663</v>
      </c>
      <c r="D56" s="3" t="s">
        <v>413</v>
      </c>
      <c r="E56" s="11" t="s">
        <v>96</v>
      </c>
    </row>
    <row r="57" ht="15.75" customHeight="1">
      <c r="A57" s="3">
        <v>83.0</v>
      </c>
      <c r="B57" s="3" t="s">
        <v>674</v>
      </c>
      <c r="C57" s="3" t="s">
        <v>675</v>
      </c>
      <c r="D57" s="3" t="s">
        <v>426</v>
      </c>
      <c r="E57" s="11" t="s">
        <v>96</v>
      </c>
    </row>
    <row r="58" ht="15.75" customHeight="1">
      <c r="A58" s="3">
        <v>84.0</v>
      </c>
      <c r="B58" s="3" t="s">
        <v>681</v>
      </c>
      <c r="C58" s="3" t="s">
        <v>682</v>
      </c>
      <c r="D58" s="3" t="s">
        <v>426</v>
      </c>
      <c r="E58" s="11" t="s">
        <v>96</v>
      </c>
    </row>
    <row r="59" ht="15.75" customHeight="1">
      <c r="A59" s="3">
        <v>85.0</v>
      </c>
      <c r="B59" s="3" t="s">
        <v>681</v>
      </c>
      <c r="C59" s="3" t="s">
        <v>698</v>
      </c>
      <c r="D59" s="3" t="s">
        <v>426</v>
      </c>
      <c r="E59" s="11" t="s">
        <v>96</v>
      </c>
    </row>
    <row r="60" ht="15.75" customHeight="1">
      <c r="A60" s="3">
        <v>86.0</v>
      </c>
      <c r="B60" s="3" t="s">
        <v>702</v>
      </c>
      <c r="C60" s="3" t="s">
        <v>704</v>
      </c>
      <c r="D60" s="3" t="s">
        <v>95</v>
      </c>
      <c r="E60" s="11" t="s">
        <v>96</v>
      </c>
    </row>
    <row r="61" ht="15.75" customHeight="1">
      <c r="A61" s="3">
        <v>87.0</v>
      </c>
      <c r="B61" s="3" t="s">
        <v>714</v>
      </c>
      <c r="C61" s="3" t="s">
        <v>715</v>
      </c>
      <c r="D61" s="3" t="s">
        <v>95</v>
      </c>
      <c r="E61" s="11" t="s">
        <v>96</v>
      </c>
    </row>
    <row r="62" ht="15.75" customHeight="1">
      <c r="A62" s="3">
        <v>89.0</v>
      </c>
      <c r="B62" s="3" t="s">
        <v>721</v>
      </c>
      <c r="C62" s="3" t="s">
        <v>722</v>
      </c>
      <c r="D62" s="3" t="s">
        <v>95</v>
      </c>
      <c r="E62" s="11" t="s">
        <v>96</v>
      </c>
    </row>
    <row r="63" ht="15.75" customHeight="1">
      <c r="A63" s="3">
        <v>90.0</v>
      </c>
      <c r="B63" s="3" t="s">
        <v>726</v>
      </c>
      <c r="C63" s="3" t="s">
        <v>727</v>
      </c>
      <c r="D63" s="3" t="s">
        <v>185</v>
      </c>
      <c r="E63" s="11" t="s">
        <v>96</v>
      </c>
    </row>
    <row r="64" ht="15.75" customHeight="1">
      <c r="A64" s="3">
        <v>91.0</v>
      </c>
      <c r="B64" s="3" t="s">
        <v>726</v>
      </c>
      <c r="C64" s="3" t="s">
        <v>731</v>
      </c>
      <c r="D64" s="3" t="s">
        <v>369</v>
      </c>
      <c r="E64" s="11" t="s">
        <v>96</v>
      </c>
    </row>
    <row r="65" ht="15.75" customHeight="1">
      <c r="A65" s="3">
        <v>92.0</v>
      </c>
      <c r="B65" s="3" t="s">
        <v>748</v>
      </c>
      <c r="C65" s="3" t="s">
        <v>749</v>
      </c>
      <c r="D65" s="3" t="s">
        <v>95</v>
      </c>
      <c r="E65" s="11" t="s">
        <v>96</v>
      </c>
    </row>
    <row r="66" ht="15.75" customHeight="1">
      <c r="A66" s="3">
        <v>94.0</v>
      </c>
      <c r="B66" s="3" t="s">
        <v>755</v>
      </c>
      <c r="C66" s="3" t="s">
        <v>756</v>
      </c>
      <c r="D66" s="3" t="s">
        <v>95</v>
      </c>
      <c r="E66" s="11" t="s">
        <v>96</v>
      </c>
    </row>
    <row r="67" ht="15.75" customHeight="1">
      <c r="A67" s="3">
        <v>95.0</v>
      </c>
      <c r="B67" s="3" t="s">
        <v>764</v>
      </c>
      <c r="C67" s="3" t="s">
        <v>766</v>
      </c>
      <c r="D67" s="3" t="s">
        <v>95</v>
      </c>
      <c r="E67" s="11" t="s">
        <v>96</v>
      </c>
    </row>
    <row r="68" ht="15.75" customHeight="1">
      <c r="A68" s="3">
        <v>96.0</v>
      </c>
      <c r="B68" s="3" t="s">
        <v>769</v>
      </c>
      <c r="C68" s="3" t="s">
        <v>770</v>
      </c>
      <c r="D68" s="3" t="s">
        <v>95</v>
      </c>
      <c r="E68" s="11" t="s">
        <v>96</v>
      </c>
    </row>
    <row r="69" ht="15.75" customHeight="1">
      <c r="A69" s="3">
        <v>97.0</v>
      </c>
      <c r="B69" s="3" t="s">
        <v>781</v>
      </c>
      <c r="C69" s="3" t="s">
        <v>782</v>
      </c>
      <c r="D69" s="3" t="s">
        <v>95</v>
      </c>
      <c r="E69" s="11" t="s">
        <v>96</v>
      </c>
    </row>
    <row r="70" ht="15.75" customHeight="1">
      <c r="A70" s="3">
        <v>98.0</v>
      </c>
      <c r="B70" s="3" t="s">
        <v>799</v>
      </c>
      <c r="C70" s="3" t="s">
        <v>800</v>
      </c>
      <c r="D70" s="3" t="s">
        <v>95</v>
      </c>
      <c r="E70" s="11" t="s">
        <v>96</v>
      </c>
    </row>
    <row r="71" ht="15.75" customHeight="1">
      <c r="A71" s="3">
        <v>99.0</v>
      </c>
      <c r="B71" s="3" t="s">
        <v>746</v>
      </c>
      <c r="C71" s="3" t="s">
        <v>803</v>
      </c>
      <c r="D71" s="3" t="s">
        <v>804</v>
      </c>
      <c r="E71" s="11" t="s">
        <v>96</v>
      </c>
    </row>
    <row r="72" ht="15.75" customHeight="1">
      <c r="A72" s="3">
        <v>100.0</v>
      </c>
      <c r="B72" s="3" t="s">
        <v>808</v>
      </c>
      <c r="C72" s="3" t="s">
        <v>809</v>
      </c>
      <c r="D72" s="3" t="s">
        <v>804</v>
      </c>
      <c r="E72" s="11" t="s">
        <v>96</v>
      </c>
    </row>
    <row r="73" ht="15.75" customHeight="1">
      <c r="A73" s="3">
        <v>101.0</v>
      </c>
      <c r="B73" s="3" t="s">
        <v>823</v>
      </c>
      <c r="C73" s="3" t="s">
        <v>825</v>
      </c>
      <c r="D73" s="3" t="s">
        <v>804</v>
      </c>
      <c r="E73" s="11" t="s">
        <v>96</v>
      </c>
    </row>
    <row r="74" ht="15.75" customHeight="1">
      <c r="A74" s="3">
        <v>102.0</v>
      </c>
      <c r="B74" s="3" t="s">
        <v>829</v>
      </c>
      <c r="C74" s="3" t="s">
        <v>830</v>
      </c>
      <c r="D74" s="3" t="s">
        <v>95</v>
      </c>
      <c r="E74" s="11" t="s">
        <v>96</v>
      </c>
    </row>
    <row r="75" ht="15.75" customHeight="1">
      <c r="A75" s="3">
        <v>103.0</v>
      </c>
      <c r="B75" s="3" t="s">
        <v>838</v>
      </c>
      <c r="C75" s="3" t="s">
        <v>839</v>
      </c>
      <c r="D75" s="3" t="s">
        <v>804</v>
      </c>
      <c r="E75" s="11" t="s">
        <v>96</v>
      </c>
    </row>
    <row r="76" ht="15.75" customHeight="1">
      <c r="A76" s="3">
        <v>104.0</v>
      </c>
      <c r="B76" s="3" t="s">
        <v>843</v>
      </c>
      <c r="C76" s="3" t="s">
        <v>844</v>
      </c>
      <c r="D76" s="3" t="s">
        <v>846</v>
      </c>
      <c r="E76" s="11" t="s">
        <v>96</v>
      </c>
    </row>
    <row r="77" ht="15.75" customHeight="1">
      <c r="A77" s="3">
        <v>105.0</v>
      </c>
      <c r="B77" s="3" t="s">
        <v>853</v>
      </c>
      <c r="C77" s="3" t="s">
        <v>854</v>
      </c>
      <c r="D77" s="3" t="s">
        <v>846</v>
      </c>
      <c r="E77" s="11" t="s">
        <v>96</v>
      </c>
    </row>
    <row r="78" ht="15.75" customHeight="1">
      <c r="A78" s="3">
        <v>106.0</v>
      </c>
      <c r="B78" s="3" t="s">
        <v>861</v>
      </c>
      <c r="C78" s="3" t="s">
        <v>862</v>
      </c>
      <c r="D78" s="3" t="s">
        <v>426</v>
      </c>
      <c r="E78" s="11" t="s">
        <v>96</v>
      </c>
    </row>
    <row r="79" ht="15.75" customHeight="1">
      <c r="A79" s="3">
        <v>107.0</v>
      </c>
      <c r="B79" s="3" t="s">
        <v>751</v>
      </c>
      <c r="C79" s="3" t="s">
        <v>867</v>
      </c>
      <c r="D79" s="3" t="s">
        <v>804</v>
      </c>
      <c r="E79" s="11" t="s">
        <v>96</v>
      </c>
    </row>
    <row r="80" ht="15.75" customHeight="1">
      <c r="A80" s="3">
        <v>108.0</v>
      </c>
      <c r="B80" s="3" t="s">
        <v>871</v>
      </c>
      <c r="C80" s="3" t="s">
        <v>872</v>
      </c>
      <c r="D80" s="3" t="s">
        <v>804</v>
      </c>
      <c r="E80" s="11" t="s">
        <v>96</v>
      </c>
    </row>
    <row r="81" ht="15.75" customHeight="1">
      <c r="A81" s="3">
        <v>109.0</v>
      </c>
      <c r="B81" s="3" t="s">
        <v>877</v>
      </c>
      <c r="C81" s="3" t="s">
        <v>878</v>
      </c>
      <c r="D81" s="3" t="s">
        <v>804</v>
      </c>
      <c r="E81" s="11" t="s">
        <v>96</v>
      </c>
    </row>
    <row r="82" ht="15.75" customHeight="1">
      <c r="A82" s="3">
        <v>110.0</v>
      </c>
      <c r="B82" s="3" t="s">
        <v>883</v>
      </c>
      <c r="C82" s="3" t="s">
        <v>884</v>
      </c>
      <c r="D82" s="3" t="s">
        <v>804</v>
      </c>
      <c r="E82" s="11" t="s">
        <v>96</v>
      </c>
    </row>
    <row r="83" ht="15.75" customHeight="1">
      <c r="A83" s="3">
        <v>111.0</v>
      </c>
      <c r="B83" s="3" t="s">
        <v>897</v>
      </c>
      <c r="C83" s="3" t="s">
        <v>898</v>
      </c>
      <c r="D83" s="3" t="s">
        <v>426</v>
      </c>
      <c r="E83" s="11" t="s">
        <v>96</v>
      </c>
    </row>
    <row r="84" ht="15.75" customHeight="1">
      <c r="A84" s="3">
        <v>112.0</v>
      </c>
      <c r="B84" s="3" t="s">
        <v>901</v>
      </c>
      <c r="C84" s="3" t="s">
        <v>903</v>
      </c>
      <c r="D84" s="3" t="s">
        <v>95</v>
      </c>
      <c r="E84" s="11" t="s">
        <v>96</v>
      </c>
    </row>
    <row r="85" ht="15.75" customHeight="1">
      <c r="A85" s="3">
        <v>113.0</v>
      </c>
      <c r="B85" s="3" t="s">
        <v>916</v>
      </c>
      <c r="C85" s="3" t="s">
        <v>917</v>
      </c>
      <c r="D85" s="3" t="s">
        <v>95</v>
      </c>
      <c r="E85" s="11" t="s">
        <v>96</v>
      </c>
    </row>
    <row r="86" ht="15.75" customHeight="1">
      <c r="A86" s="3">
        <v>114.0</v>
      </c>
      <c r="B86" s="3" t="s">
        <v>919</v>
      </c>
      <c r="C86" s="3" t="s">
        <v>921</v>
      </c>
      <c r="D86" s="3" t="s">
        <v>804</v>
      </c>
      <c r="E86" s="11" t="s">
        <v>96</v>
      </c>
    </row>
    <row r="87" ht="15.75" customHeight="1">
      <c r="A87" s="3">
        <v>115.0</v>
      </c>
      <c r="B87" s="3" t="s">
        <v>758</v>
      </c>
      <c r="C87" s="3" t="s">
        <v>935</v>
      </c>
      <c r="D87" s="3" t="s">
        <v>804</v>
      </c>
      <c r="E87" s="11" t="s">
        <v>96</v>
      </c>
    </row>
    <row r="88" ht="15.75" customHeight="1">
      <c r="A88" s="3">
        <v>116.0</v>
      </c>
      <c r="B88" s="3" t="s">
        <v>939</v>
      </c>
      <c r="C88" s="3" t="s">
        <v>941</v>
      </c>
      <c r="D88" s="3" t="s">
        <v>804</v>
      </c>
      <c r="E88" s="11" t="s">
        <v>96</v>
      </c>
    </row>
    <row r="89" ht="15.75" customHeight="1">
      <c r="A89" s="3">
        <v>117.0</v>
      </c>
      <c r="B89" s="3" t="s">
        <v>948</v>
      </c>
      <c r="C89" s="3" t="s">
        <v>950</v>
      </c>
      <c r="D89" s="3" t="s">
        <v>804</v>
      </c>
      <c r="E89" s="11" t="s">
        <v>96</v>
      </c>
    </row>
    <row r="90" ht="15.75" customHeight="1">
      <c r="A90" s="3">
        <v>118.0</v>
      </c>
      <c r="B90" s="3" t="s">
        <v>960</v>
      </c>
      <c r="C90" s="3" t="s">
        <v>961</v>
      </c>
      <c r="D90" s="3" t="s">
        <v>963</v>
      </c>
      <c r="E90" s="11" t="s">
        <v>96</v>
      </c>
    </row>
    <row r="91" ht="15.75" customHeight="1">
      <c r="A91" s="3">
        <v>119.0</v>
      </c>
      <c r="B91" s="3" t="s">
        <v>970</v>
      </c>
      <c r="C91" s="3" t="s">
        <v>971</v>
      </c>
      <c r="D91" s="3" t="s">
        <v>413</v>
      </c>
      <c r="E91" s="11" t="s">
        <v>96</v>
      </c>
    </row>
    <row r="92" ht="15.75" customHeight="1">
      <c r="A92" s="3">
        <v>120.0</v>
      </c>
      <c r="B92" s="3" t="s">
        <v>761</v>
      </c>
      <c r="C92" s="3" t="s">
        <v>985</v>
      </c>
      <c r="D92" s="3" t="s">
        <v>95</v>
      </c>
      <c r="E92" s="11" t="s">
        <v>96</v>
      </c>
    </row>
    <row r="93" ht="15.75" customHeight="1">
      <c r="A93" s="3">
        <v>121.0</v>
      </c>
      <c r="B93" s="3" t="s">
        <v>990</v>
      </c>
      <c r="C93" s="3" t="s">
        <v>992</v>
      </c>
      <c r="D93" s="3" t="s">
        <v>677</v>
      </c>
      <c r="E93" s="11" t="s">
        <v>96</v>
      </c>
    </row>
    <row r="94" ht="15.75" customHeight="1">
      <c r="A94" s="3">
        <v>122.0</v>
      </c>
      <c r="B94" s="3" t="s">
        <v>1002</v>
      </c>
      <c r="C94" s="3" t="s">
        <v>1003</v>
      </c>
      <c r="D94" s="3" t="s">
        <v>677</v>
      </c>
      <c r="E94" s="11" t="s">
        <v>96</v>
      </c>
    </row>
    <row r="95" ht="15.75" customHeight="1">
      <c r="A95" s="3">
        <v>123.0</v>
      </c>
      <c r="B95" s="3" t="s">
        <v>787</v>
      </c>
      <c r="C95" s="3" t="s">
        <v>1015</v>
      </c>
      <c r="D95" s="3" t="s">
        <v>846</v>
      </c>
      <c r="E95" s="11" t="s">
        <v>96</v>
      </c>
    </row>
    <row r="96" ht="15.75" customHeight="1">
      <c r="A96" s="3">
        <v>124.0</v>
      </c>
      <c r="B96" s="3" t="s">
        <v>1023</v>
      </c>
      <c r="C96" s="3" t="s">
        <v>1024</v>
      </c>
      <c r="D96" s="3" t="s">
        <v>185</v>
      </c>
      <c r="E96" s="11" t="s">
        <v>96</v>
      </c>
    </row>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ref="E30"/>
    <hyperlink r:id="rId30" ref="E31"/>
    <hyperlink r:id="rId31" ref="E32"/>
    <hyperlink r:id="rId32" ref="E33"/>
    <hyperlink r:id="rId33" ref="E34"/>
    <hyperlink r:id="rId34" ref="E35"/>
    <hyperlink r:id="rId35" ref="E36"/>
    <hyperlink r:id="rId36" ref="E37"/>
    <hyperlink r:id="rId37" ref="E38"/>
    <hyperlink r:id="rId38" ref="E39"/>
    <hyperlink r:id="rId39" ref="E40"/>
    <hyperlink r:id="rId40" ref="E41"/>
    <hyperlink r:id="rId41" ref="E42"/>
    <hyperlink r:id="rId42" ref="E43"/>
    <hyperlink r:id="rId43" ref="E44"/>
    <hyperlink r:id="rId44" ref="E45"/>
    <hyperlink r:id="rId45" ref="E46"/>
    <hyperlink r:id="rId46" ref="E47"/>
    <hyperlink r:id="rId47" ref="E48"/>
    <hyperlink r:id="rId48" ref="E49"/>
    <hyperlink r:id="rId49" ref="E50"/>
    <hyperlink r:id="rId50" ref="E51"/>
    <hyperlink r:id="rId51" ref="E52"/>
    <hyperlink r:id="rId52" ref="E53"/>
    <hyperlink r:id="rId53" ref="E54"/>
    <hyperlink r:id="rId54" ref="E55"/>
    <hyperlink r:id="rId55" ref="E56"/>
    <hyperlink r:id="rId56" ref="E57"/>
    <hyperlink r:id="rId57" ref="E58"/>
    <hyperlink r:id="rId58" ref="E59"/>
    <hyperlink r:id="rId59" ref="E60"/>
    <hyperlink r:id="rId60" ref="E61"/>
    <hyperlink r:id="rId61" ref="E62"/>
    <hyperlink r:id="rId62" ref="E63"/>
    <hyperlink r:id="rId63" ref="E64"/>
    <hyperlink r:id="rId64" ref="E65"/>
    <hyperlink r:id="rId65" ref="E66"/>
    <hyperlink r:id="rId66" ref="E67"/>
    <hyperlink r:id="rId67" ref="E68"/>
    <hyperlink r:id="rId68" ref="E69"/>
    <hyperlink r:id="rId69" ref="E70"/>
    <hyperlink r:id="rId70" ref="E71"/>
    <hyperlink r:id="rId71" ref="E72"/>
    <hyperlink r:id="rId72" ref="E73"/>
    <hyperlink r:id="rId73" ref="E74"/>
    <hyperlink r:id="rId74" ref="E75"/>
    <hyperlink r:id="rId75" ref="E76"/>
    <hyperlink r:id="rId76" ref="E77"/>
    <hyperlink r:id="rId77" ref="E78"/>
    <hyperlink r:id="rId78" ref="E79"/>
    <hyperlink r:id="rId79" ref="E80"/>
    <hyperlink r:id="rId80" ref="E81"/>
    <hyperlink r:id="rId81" ref="E82"/>
    <hyperlink r:id="rId82" ref="E83"/>
    <hyperlink r:id="rId83" ref="E84"/>
    <hyperlink r:id="rId84" ref="E85"/>
    <hyperlink r:id="rId85" ref="E86"/>
    <hyperlink r:id="rId86" ref="E87"/>
    <hyperlink r:id="rId87" ref="E88"/>
    <hyperlink r:id="rId88" ref="E89"/>
    <hyperlink r:id="rId89" ref="E90"/>
    <hyperlink r:id="rId90" ref="E91"/>
    <hyperlink r:id="rId91" ref="E92"/>
    <hyperlink r:id="rId92" ref="E93"/>
    <hyperlink r:id="rId93" ref="E94"/>
    <hyperlink r:id="rId94" ref="E95"/>
    <hyperlink r:id="rId95" ref="E96"/>
  </hyperlinks>
  <printOptions/>
  <pageMargins bottom="1.0" footer="0.0" header="0.0" left="0.75" right="0.75" top="1.0"/>
  <pageSetup orientation="landscape"/>
  <drawing r:id="rId9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0"/>
    <col customWidth="1" min="2" max="6" width="20.0"/>
    <col customWidth="1" min="7" max="26" width="8.71"/>
  </cols>
  <sheetData>
    <row r="1">
      <c r="A1" s="2" t="s">
        <v>2</v>
      </c>
      <c r="B1" s="2" t="s">
        <v>8</v>
      </c>
      <c r="C1" s="2" t="s">
        <v>10</v>
      </c>
      <c r="D1" s="4"/>
      <c r="E1" s="4"/>
      <c r="F1" s="4"/>
    </row>
    <row r="2">
      <c r="A2" s="4" t="s">
        <v>16</v>
      </c>
      <c r="B2" s="4">
        <f>COUNTIFS('回答一覧'!$R$2:$R$125,A2,'回答一覧'!$AF$2:$AF$125,"○")</f>
        <v>5</v>
      </c>
      <c r="C2" s="10">
        <f>IFERROR(AVERAGEIFS('回答一覧'!$U$2:$U$125,'回答一覧'!$R$2:$R$125,A2,'回答一覧'!$AF$2:$AF$125,"○"),"-")</f>
        <v>11</v>
      </c>
      <c r="D2" s="4"/>
      <c r="E2" s="4"/>
      <c r="F2" s="4"/>
    </row>
    <row r="3">
      <c r="A3" s="4" t="s">
        <v>109</v>
      </c>
      <c r="B3" s="4">
        <f>COUNTIFS('回答一覧'!$R$2:$R$125,A3,'回答一覧'!$AF$2:$AF$125,"○")</f>
        <v>5</v>
      </c>
      <c r="C3" s="10">
        <f>IFERROR(AVERAGEIFS('回答一覧'!$U$2:$U$125,'回答一覧'!$R$2:$R$125,A3,'回答一覧'!$AF$2:$AF$125,"○"),"-")</f>
        <v>6.4</v>
      </c>
      <c r="D3" s="4"/>
      <c r="E3" s="4"/>
      <c r="F3" s="4"/>
    </row>
    <row r="4">
      <c r="A4" s="4" t="s">
        <v>112</v>
      </c>
      <c r="B4" s="4">
        <f>COUNTIFS('回答一覧'!$R$2:$R$125,A4,'回答一覧'!$AF$2:$AF$125,"○")</f>
        <v>8</v>
      </c>
      <c r="C4" s="10">
        <f>IFERROR(AVERAGEIFS('回答一覧'!$U$2:$U$125,'回答一覧'!$R$2:$R$125,A4,'回答一覧'!$AF$2:$AF$125,"○"),"-")</f>
        <v>21.625</v>
      </c>
      <c r="D4" s="4"/>
      <c r="E4" s="4"/>
      <c r="F4" s="4"/>
    </row>
    <row r="5">
      <c r="A5" s="4" t="s">
        <v>123</v>
      </c>
      <c r="B5" s="4">
        <f>COUNTIFS('回答一覧'!$R$2:$R$125,A5,'回答一覧'!$AF$2:$AF$125,"○")</f>
        <v>71</v>
      </c>
      <c r="C5" s="10">
        <f>IFERROR(AVERAGEIFS('回答一覧'!$U$2:$U$125,'回答一覧'!$R$2:$R$125,A5,'回答一覧'!$AF$2:$AF$125,"○"),"-")</f>
        <v>33.15151515</v>
      </c>
      <c r="D5" s="4"/>
      <c r="E5" s="4"/>
      <c r="F5" s="4"/>
    </row>
    <row r="6">
      <c r="A6" s="4" t="s">
        <v>131</v>
      </c>
      <c r="B6" s="4">
        <f>COUNTIFS('回答一覧'!$R$2:$R$125,A6,'回答一覧'!$AF$2:$AF$125,"○")</f>
        <v>0</v>
      </c>
      <c r="C6" s="10" t="str">
        <f>IFERROR(AVERAGEIFS('回答一覧'!$U$2:$U$125,'回答一覧'!$R$2:$R$125,A6,'回答一覧'!$AF$2:$AF$125,"○"),"-")</f>
        <v>-</v>
      </c>
      <c r="D6" s="4"/>
      <c r="E6" s="4"/>
      <c r="F6" s="4"/>
    </row>
    <row r="7">
      <c r="A7" s="4" t="s">
        <v>137</v>
      </c>
      <c r="B7" s="4">
        <f>SUM(B2:B6)</f>
        <v>89</v>
      </c>
      <c r="C7" s="4"/>
      <c r="D7" s="4"/>
      <c r="E7" s="4"/>
      <c r="F7" s="4"/>
    </row>
    <row r="8">
      <c r="A8" s="4"/>
      <c r="B8" s="4"/>
      <c r="C8" s="4"/>
      <c r="D8" s="4"/>
      <c r="E8" s="4"/>
      <c r="F8" s="4"/>
    </row>
    <row r="9">
      <c r="A9" s="4" t="s">
        <v>37</v>
      </c>
      <c r="B9" s="4" t="s">
        <v>8</v>
      </c>
      <c r="C9" s="4" t="s">
        <v>144</v>
      </c>
      <c r="D9" s="4"/>
      <c r="E9" s="4"/>
      <c r="F9" s="4"/>
    </row>
    <row r="10">
      <c r="A10" s="4" t="s">
        <v>149</v>
      </c>
      <c r="B10" s="4">
        <f>COUNTIFS('回答一覧'!$V$2:$V$125,A10,'回答一覧'!$AF$2:$AF$125,"○")</f>
        <v>8</v>
      </c>
      <c r="C10" s="10">
        <f>IFERROR(AVERAGEIFS('回答一覧'!$Q$2:$Q$125,'回答一覧'!$V$2:$V$125,A10,'回答一覧'!$AF$2:$AF$125,"○"),"-")</f>
        <v>240790.3625</v>
      </c>
      <c r="D10" s="4"/>
      <c r="E10" s="4"/>
      <c r="F10" s="4"/>
    </row>
    <row r="11">
      <c r="A11" s="4" t="s">
        <v>200</v>
      </c>
      <c r="B11" s="4">
        <f>COUNTIFS('回答一覧'!$V$2:$V$125,A11,'回答一覧'!$AF$2:$AF$125,"○")</f>
        <v>13</v>
      </c>
      <c r="C11" s="10">
        <f>IFERROR(AVERAGEIFS('回答一覧'!$Q$2:$Q$125,'回答一覧'!$V$2:$V$125,A11,'回答一覧'!$AF$2:$AF$125,"○"),"-")</f>
        <v>261140.608</v>
      </c>
      <c r="D11" s="4"/>
      <c r="E11" s="4"/>
      <c r="F11" s="4"/>
    </row>
    <row r="12">
      <c r="A12" s="4" t="s">
        <v>226</v>
      </c>
      <c r="B12" s="4">
        <f>COUNTIFS('回答一覧'!$V$2:$V$125,A12,'回答一覧'!$AF$2:$AF$125,"○")</f>
        <v>21</v>
      </c>
      <c r="C12" s="10">
        <f>IFERROR(AVERAGEIFS('回答一覧'!$Q$2:$Q$125,'回答一覧'!$V$2:$V$125,A12,'回答一覧'!$AF$2:$AF$125,"○"),"-")</f>
        <v>33185.85571</v>
      </c>
      <c r="D12" s="4"/>
      <c r="E12" s="4"/>
      <c r="F12" s="4"/>
    </row>
    <row r="13">
      <c r="A13" s="4" t="s">
        <v>237</v>
      </c>
      <c r="B13" s="4">
        <f>COUNTIFS('回答一覧'!$V$2:$V$125,A13,'回答一覧'!$AF$2:$AF$125,"○")</f>
        <v>42</v>
      </c>
      <c r="C13" s="10">
        <f>IFERROR(AVERAGEIFS('回答一覧'!$Q$2:$Q$125,'回答一覧'!$V$2:$V$125,A13,'回答一覧'!$AF$2:$AF$125,"○"),"-")</f>
        <v>35496.86124</v>
      </c>
      <c r="D13" s="4"/>
      <c r="E13" s="4"/>
      <c r="F13" s="4"/>
    </row>
    <row r="14">
      <c r="A14" s="4" t="s">
        <v>131</v>
      </c>
      <c r="B14" s="4">
        <f>COUNTIFS('回答一覧'!$V$2:$V$125,A14,'回答一覧'!$AF$2:$AF$125,"○")</f>
        <v>5</v>
      </c>
      <c r="C14" s="10">
        <f>IFERROR(AVERAGEIFS('回答一覧'!$Q$2:$Q$125,'回答一覧'!$V$2:$V$125,A14,'回答一覧'!$AF$2:$AF$125,"○"),"-")</f>
        <v>260980.1382</v>
      </c>
      <c r="D14" s="4"/>
      <c r="E14" s="4"/>
      <c r="F14" s="4"/>
    </row>
    <row r="15">
      <c r="A15" s="4"/>
      <c r="B15" s="4"/>
      <c r="C15" s="4"/>
      <c r="D15" s="4"/>
      <c r="E15" s="4"/>
      <c r="F15" s="4"/>
    </row>
    <row r="16">
      <c r="A16" s="4" t="s">
        <v>29</v>
      </c>
      <c r="B16" s="4" t="s">
        <v>8</v>
      </c>
      <c r="C16" s="4" t="s">
        <v>144</v>
      </c>
      <c r="D16" s="4" t="s">
        <v>10</v>
      </c>
      <c r="E16" s="4" t="s">
        <v>277</v>
      </c>
      <c r="F16" s="4" t="s">
        <v>278</v>
      </c>
    </row>
    <row r="17">
      <c r="A17" s="4" t="s">
        <v>261</v>
      </c>
      <c r="B17" s="4">
        <f>COUNTIFS('回答一覧'!$E$2:$E$125,A17,'回答一覧'!$AF$2:$AF$125,"○")</f>
        <v>28</v>
      </c>
      <c r="C17" s="10">
        <f>IFERROR(AVERAGEIFS('回答一覧'!$Q$2:$Q$125,'回答一覧'!$E$2:$E$125,A17,'回答一覧'!$AF$2:$AF$125,"○"),"-")</f>
        <v>59388.95325</v>
      </c>
      <c r="D17" s="10">
        <f>IFERROR(AVERAGEIFS('回答一覧'!$U$2:$U$125,'回答一覧'!$E$2:$E$125,A17,'回答一覧'!$AF$2:$AF$125,"○"),"-")</f>
        <v>45.16666667</v>
      </c>
      <c r="E17" s="10">
        <f>IF(COUNTIFS('回答一覧'!$E$2:$E$125,A17,'回答一覧'!$AF$2:$AF$125,"○",'回答一覧'!$Q$2:$Q$125,"&gt;0")=0,"-",MAXIFS('回答一覧'!$Q$2:$Q$125,'回答一覧'!$E$2:$E$125,A17,'回答一覧'!$AF$2:$AF$125,"○"))</f>
        <v>1207850</v>
      </c>
      <c r="F17" s="10">
        <f>IF(COUNTIFS('回答一覧'!$E$2:$E$125,A17,'回答一覧'!$AF$2:$AF$125,"○",'回答一覧'!$U$2:$U$125,"&gt;0")=0,"-",MAXIFS('回答一覧'!$U$2:$U$125,'回答一覧'!$E$2:$E$125,A17,'回答一覧'!$AF$2:$AF$125,"○"))</f>
        <v>144</v>
      </c>
    </row>
    <row r="18">
      <c r="A18" s="4" t="s">
        <v>100</v>
      </c>
      <c r="B18" s="4">
        <f>COUNTIFS('回答一覧'!$E$2:$E$125,A18,'回答一覧'!$AF$2:$AF$125,"○")</f>
        <v>10</v>
      </c>
      <c r="C18" s="10">
        <f>IFERROR(AVERAGEIFS('回答一覧'!$Q$2:$Q$125,'回答一覧'!$E$2:$E$125,A18,'回答一覧'!$AF$2:$AF$125,"○"),"-")</f>
        <v>17035.97656</v>
      </c>
      <c r="D18" s="10">
        <f>IFERROR(AVERAGEIFS('回答一覧'!$U$2:$U$125,'回答一覧'!$E$2:$E$125,A18,'回答一覧'!$AF$2:$AF$125,"○"),"-")</f>
        <v>26.44444444</v>
      </c>
      <c r="E18" s="10">
        <f>IF(COUNTIFS('回答一覧'!$E$2:$E$125,A18,'回答一覧'!$AF$2:$AF$125,"○",'回答一覧'!$Q$2:$Q$125,"&gt;0")=0,"-",MAXIFS('回答一覧'!$Q$2:$Q$125,'回答一覧'!$E$2:$E$125,A18,'回答一覧'!$AF$2:$AF$125,"○"))</f>
        <v>92290</v>
      </c>
      <c r="F18" s="10">
        <f>IF(COUNTIFS('回答一覧'!$E$2:$E$125,A18,'回答一覧'!$AF$2:$AF$125,"○",'回答一覧'!$U$2:$U$125,"&gt;0")=0,"-",MAXIFS('回答一覧'!$U$2:$U$125,'回答一覧'!$E$2:$E$125,A18,'回答一覧'!$AF$2:$AF$125,"○"))</f>
        <v>57</v>
      </c>
    </row>
    <row r="19">
      <c r="A19" s="4" t="s">
        <v>362</v>
      </c>
      <c r="B19" s="4">
        <f>COUNTIFS('回答一覧'!$E$2:$E$125,A19,'回答一覧'!$AF$2:$AF$125,"○")</f>
        <v>3</v>
      </c>
      <c r="C19" s="10">
        <f>IFERROR(AVERAGEIFS('回答一覧'!$Q$2:$Q$125,'回答一覧'!$E$2:$E$125,A19,'回答一覧'!$AF$2:$AF$125,"○"),"-")</f>
        <v>22680</v>
      </c>
      <c r="D19" s="10">
        <f>IFERROR(AVERAGEIFS('回答一覧'!$U$2:$U$125,'回答一覧'!$E$2:$E$125,A19,'回答一覧'!$AF$2:$AF$125,"○"),"-")</f>
        <v>32</v>
      </c>
      <c r="E19" s="10">
        <f>IF(COUNTIFS('回答一覧'!$E$2:$E$125,A19,'回答一覧'!$AF$2:$AF$125,"○",'回答一覧'!$Q$2:$Q$125,"&gt;0")=0,"-",MAXIFS('回答一覧'!$Q$2:$Q$125,'回答一覧'!$E$2:$E$125,A19,'回答一覧'!$AF$2:$AF$125,"○"))</f>
        <v>31140</v>
      </c>
      <c r="F19" s="10">
        <f>IF(COUNTIFS('回答一覧'!$E$2:$E$125,A19,'回答一覧'!$AF$2:$AF$125,"○",'回答一覧'!$U$2:$U$125,"&gt;0")=0,"-",MAXIFS('回答一覧'!$U$2:$U$125,'回答一覧'!$E$2:$E$125,A19,'回答一覧'!$AF$2:$AF$125,"○"))</f>
        <v>32</v>
      </c>
    </row>
    <row r="20">
      <c r="A20" s="4" t="s">
        <v>375</v>
      </c>
      <c r="B20" s="4">
        <f>COUNTIFS('回答一覧'!$E$2:$E$125,A20,'回答一覧'!$AF$2:$AF$125,"○")</f>
        <v>2</v>
      </c>
      <c r="C20" s="10">
        <f>IFERROR(AVERAGEIFS('回答一覧'!$Q$2:$Q$125,'回答一覧'!$E$2:$E$125,A20,'回答一覧'!$AF$2:$AF$125,"○"),"-")</f>
        <v>43900</v>
      </c>
      <c r="D20" s="10">
        <f>IFERROR(AVERAGEIFS('回答一覧'!$U$2:$U$125,'回答一覧'!$E$2:$E$125,A20,'回答一覧'!$AF$2:$AF$125,"○"),"-")</f>
        <v>31</v>
      </c>
      <c r="E20" s="10">
        <f>IF(COUNTIFS('回答一覧'!$E$2:$E$125,A20,'回答一覧'!$AF$2:$AF$125,"○",'回答一覧'!$Q$2:$Q$125,"&gt;0")=0,"-",MAXIFS('回答一覧'!$Q$2:$Q$125,'回答一覧'!$E$2:$E$125,A20,'回答一覧'!$AF$2:$AF$125,"○"))</f>
        <v>81450</v>
      </c>
      <c r="F20" s="10">
        <f>IF(COUNTIFS('回答一覧'!$E$2:$E$125,A20,'回答一覧'!$AF$2:$AF$125,"○",'回答一覧'!$U$2:$U$125,"&gt;0")=0,"-",MAXIFS('回答一覧'!$U$2:$U$125,'回答一覧'!$E$2:$E$125,A20,'回答一覧'!$AF$2:$AF$125,"○"))</f>
        <v>36</v>
      </c>
    </row>
    <row r="21" ht="15.75" customHeight="1">
      <c r="A21" s="4" t="s">
        <v>211</v>
      </c>
      <c r="B21" s="4">
        <f>COUNTIFS('回答一覧'!$E$2:$E$125,A21,'回答一覧'!$AF$2:$AF$125,"○")</f>
        <v>2</v>
      </c>
      <c r="C21" s="10">
        <f>IFERROR(AVERAGEIFS('回答一覧'!$Q$2:$Q$125,'回答一覧'!$E$2:$E$125,A21,'回答一覧'!$AF$2:$AF$125,"○"),"-")</f>
        <v>7861.975</v>
      </c>
      <c r="D21" s="10">
        <f>IFERROR(AVERAGEIFS('回答一覧'!$U$2:$U$125,'回答一覧'!$E$2:$E$125,A21,'回答一覧'!$AF$2:$AF$125,"○"),"-")</f>
        <v>18</v>
      </c>
      <c r="E21" s="10">
        <f>IF(COUNTIFS('回答一覧'!$E$2:$E$125,A21,'回答一覧'!$AF$2:$AF$125,"○",'回答一覧'!$Q$2:$Q$125,"&gt;0")=0,"-",MAXIFS('回答一覧'!$Q$2:$Q$125,'回答一覧'!$E$2:$E$125,A21,'回答一覧'!$AF$2:$AF$125,"○"))</f>
        <v>13100</v>
      </c>
      <c r="F21" s="10">
        <f>IF(COUNTIFS('回答一覧'!$E$2:$E$125,A21,'回答一覧'!$AF$2:$AF$125,"○",'回答一覧'!$U$2:$U$125,"&gt;0")=0,"-",MAXIFS('回答一覧'!$U$2:$U$125,'回答一覧'!$E$2:$E$125,A21,'回答一覧'!$AF$2:$AF$125,"○"))</f>
        <v>18</v>
      </c>
    </row>
    <row r="22" ht="15.75" customHeight="1">
      <c r="A22" s="4" t="s">
        <v>499</v>
      </c>
      <c r="B22" s="4">
        <f>COUNTIFS('回答一覧'!$E$2:$E$125,A22,'回答一覧'!$AF$2:$AF$125,"○")</f>
        <v>40</v>
      </c>
      <c r="C22" s="10">
        <f>IFERROR(AVERAGEIFS('回答一覧'!$Q$2:$Q$125,'回答一覧'!$E$2:$E$125,A22,'回答一覧'!$AF$2:$AF$125,"○"),"-")</f>
        <v>170061.5</v>
      </c>
      <c r="D22" s="10">
        <f>IFERROR(AVERAGEIFS('回答一覧'!$U$2:$U$125,'回答一覧'!$E$2:$E$125,A22,'回答一覧'!$AF$2:$AF$125,"○"),"-")</f>
        <v>21.575</v>
      </c>
      <c r="E22" s="10">
        <f>IF(COUNTIFS('回答一覧'!$E$2:$E$125,A22,'回答一覧'!$AF$2:$AF$125,"○",'回答一覧'!$Q$2:$Q$125,"&gt;0")=0,"-",MAXIFS('回答一覧'!$Q$2:$Q$125,'回答一覧'!$E$2:$E$125,A22,'回答一覧'!$AF$2:$AF$125,"○"))</f>
        <v>808390</v>
      </c>
      <c r="F22" s="10">
        <f>IF(COUNTIFS('回答一覧'!$E$2:$E$125,A22,'回答一覧'!$AF$2:$AF$125,"○",'回答一覧'!$U$2:$U$125,"&gt;0")=0,"-",MAXIFS('回答一覧'!$U$2:$U$125,'回答一覧'!$E$2:$E$125,A22,'回答一覧'!$AF$2:$AF$125,"○"))</f>
        <v>58</v>
      </c>
    </row>
    <row r="23" ht="15.75" customHeight="1">
      <c r="A23" s="4" t="s">
        <v>461</v>
      </c>
      <c r="B23" s="4">
        <f>COUNTIFS('回答一覧'!$E$2:$E$125,A23,'回答一覧'!$AF$2:$AF$125,"○")</f>
        <v>4</v>
      </c>
      <c r="C23" s="10">
        <f>IFERROR(AVERAGEIFS('回答一覧'!$Q$2:$Q$125,'回答一覧'!$E$2:$E$125,A23,'回答一覧'!$AF$2:$AF$125,"○"),"-")</f>
        <v>1637.0575</v>
      </c>
      <c r="D23" s="10">
        <f>IFERROR(AVERAGEIFS('回答一覧'!$U$2:$U$125,'回答一覧'!$E$2:$E$125,A23,'回答一覧'!$AF$2:$AF$125,"○"),"-")</f>
        <v>17.25</v>
      </c>
      <c r="E23" s="10">
        <f>IF(COUNTIFS('回答一覧'!$E$2:$E$125,A23,'回答一覧'!$AF$2:$AF$125,"○",'回答一覧'!$Q$2:$Q$125,"&gt;0")=0,"-",MAXIFS('回答一覧'!$Q$2:$Q$125,'回答一覧'!$E$2:$E$125,A23,'回答一覧'!$AF$2:$AF$125,"○"))</f>
        <v>3250</v>
      </c>
      <c r="F23" s="10">
        <f>IF(COUNTIFS('回答一覧'!$E$2:$E$125,A23,'回答一覧'!$AF$2:$AF$125,"○",'回答一覧'!$U$2:$U$125,"&gt;0")=0,"-",MAXIFS('回答一覧'!$U$2:$U$125,'回答一覧'!$E$2:$E$125,A23,'回答一覧'!$AF$2:$AF$125,"○"))</f>
        <v>30</v>
      </c>
    </row>
    <row r="24" ht="15.75" customHeight="1">
      <c r="A24" s="4"/>
      <c r="B24" s="4"/>
      <c r="C24" s="4"/>
      <c r="D24" s="4"/>
      <c r="E24" s="4"/>
      <c r="F24" s="4"/>
    </row>
    <row r="25" ht="15.75" customHeight="1">
      <c r="A25" s="2" t="s">
        <v>50</v>
      </c>
      <c r="B25" s="2" t="s">
        <v>8</v>
      </c>
      <c r="C25" s="4"/>
      <c r="D25" s="4"/>
      <c r="E25" s="4"/>
      <c r="F25" s="4"/>
    </row>
    <row r="26" ht="15.75" customHeight="1">
      <c r="A26" s="4" t="s">
        <v>134</v>
      </c>
      <c r="B26" s="4">
        <f>COUNTIF('回答一覧'!$AJ$2:$AJ$125,A26)</f>
        <v>124</v>
      </c>
      <c r="C26" s="4"/>
      <c r="D26" s="4"/>
      <c r="E26" s="4"/>
      <c r="F26" s="4"/>
    </row>
    <row r="27" ht="15.75" customHeight="1">
      <c r="A27" s="4" t="s">
        <v>598</v>
      </c>
      <c r="B27" s="4">
        <f>COUNTIF('回答一覧'!$AJ$2:$AJ$125,A27)</f>
        <v>0</v>
      </c>
      <c r="C27" s="4"/>
      <c r="D27" s="4"/>
      <c r="E27" s="4"/>
      <c r="F27" s="4"/>
    </row>
    <row r="28" ht="15.75" customHeight="1">
      <c r="A28" s="4" t="s">
        <v>605</v>
      </c>
      <c r="B28" s="4">
        <f>COUNTIF('回答一覧'!$AJ$2:$AJ$125,A28)</f>
        <v>0</v>
      </c>
      <c r="C28" s="4"/>
      <c r="D28" s="4"/>
      <c r="E28" s="4"/>
      <c r="F28" s="4"/>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6.0"/>
    <col customWidth="1" min="3" max="3" width="14.0"/>
    <col customWidth="1" min="4" max="5" width="9.0"/>
    <col customWidth="1" min="6" max="6" width="22.0"/>
    <col customWidth="1" min="7" max="7" width="18.0"/>
    <col customWidth="1" min="8" max="8" width="60.0"/>
    <col customWidth="1" min="9" max="26" width="8.71"/>
  </cols>
  <sheetData>
    <row r="1">
      <c r="A1" s="2" t="s">
        <v>138</v>
      </c>
      <c r="B1" s="2" t="s">
        <v>139</v>
      </c>
      <c r="C1" s="2" t="s">
        <v>140</v>
      </c>
      <c r="D1" s="2" t="s">
        <v>141</v>
      </c>
      <c r="E1" s="2" t="s">
        <v>142</v>
      </c>
      <c r="F1" s="2" t="s">
        <v>143</v>
      </c>
      <c r="G1" s="2" t="s">
        <v>145</v>
      </c>
      <c r="H1" s="2" t="s">
        <v>147</v>
      </c>
    </row>
    <row r="2">
      <c r="A2" s="3" t="s">
        <v>151</v>
      </c>
      <c r="B2" s="3" t="s">
        <v>153</v>
      </c>
      <c r="C2" s="15">
        <v>6.14E7</v>
      </c>
      <c r="D2" s="3" t="s">
        <v>131</v>
      </c>
      <c r="E2" s="3">
        <v>16.0</v>
      </c>
      <c r="F2" s="3" t="s">
        <v>161</v>
      </c>
      <c r="G2" s="3" t="s">
        <v>162</v>
      </c>
      <c r="H2" s="3"/>
    </row>
    <row r="3">
      <c r="A3" s="3" t="s">
        <v>163</v>
      </c>
      <c r="B3" s="3" t="s">
        <v>164</v>
      </c>
      <c r="C3" s="15">
        <v>4100000.0</v>
      </c>
      <c r="D3" s="3" t="s">
        <v>108</v>
      </c>
      <c r="E3" s="3">
        <v>6.0</v>
      </c>
      <c r="F3" s="3"/>
      <c r="G3" s="3" t="s">
        <v>165</v>
      </c>
      <c r="H3" s="3" t="s">
        <v>166</v>
      </c>
    </row>
    <row r="4">
      <c r="A4" s="3" t="s">
        <v>168</v>
      </c>
      <c r="B4" s="3" t="s">
        <v>169</v>
      </c>
      <c r="C4" s="15">
        <v>9200000.0</v>
      </c>
      <c r="D4" s="3" t="s">
        <v>108</v>
      </c>
      <c r="E4" s="3">
        <v>3.0</v>
      </c>
      <c r="F4" s="3"/>
      <c r="G4" s="3" t="s">
        <v>162</v>
      </c>
      <c r="H4" s="3"/>
    </row>
    <row r="5">
      <c r="A5" s="3" t="s">
        <v>171</v>
      </c>
      <c r="B5" s="3" t="s">
        <v>173</v>
      </c>
      <c r="C5" s="15">
        <v>1.63E7</v>
      </c>
      <c r="D5" s="3" t="s">
        <v>176</v>
      </c>
      <c r="E5" s="3">
        <v>17.0</v>
      </c>
      <c r="F5" s="3"/>
      <c r="G5" s="3" t="s">
        <v>162</v>
      </c>
      <c r="H5" s="3"/>
    </row>
    <row r="6">
      <c r="A6" s="3" t="s">
        <v>178</v>
      </c>
      <c r="B6" s="3" t="s">
        <v>180</v>
      </c>
      <c r="C6" s="15"/>
      <c r="D6" s="3" t="s">
        <v>131</v>
      </c>
      <c r="E6" s="3">
        <v>7.0</v>
      </c>
      <c r="F6" s="3" t="s">
        <v>184</v>
      </c>
      <c r="G6" s="3" t="s">
        <v>186</v>
      </c>
      <c r="H6" s="3" t="s">
        <v>187</v>
      </c>
    </row>
    <row r="7">
      <c r="A7" s="3" t="s">
        <v>188</v>
      </c>
      <c r="B7" s="3" t="s">
        <v>189</v>
      </c>
      <c r="C7" s="15"/>
      <c r="D7" s="3" t="s">
        <v>131</v>
      </c>
      <c r="E7" s="3"/>
      <c r="F7" s="3" t="s">
        <v>190</v>
      </c>
      <c r="G7" s="3" t="s">
        <v>191</v>
      </c>
      <c r="H7" s="3" t="s">
        <v>192</v>
      </c>
    </row>
    <row r="8">
      <c r="A8" s="3" t="s">
        <v>193</v>
      </c>
      <c r="B8" s="3" t="s">
        <v>194</v>
      </c>
      <c r="C8" s="15">
        <v>6200000.0</v>
      </c>
      <c r="D8" s="3" t="s">
        <v>108</v>
      </c>
      <c r="E8" s="3">
        <v>18.0</v>
      </c>
      <c r="F8" s="3" t="s">
        <v>195</v>
      </c>
      <c r="G8" s="3" t="s">
        <v>162</v>
      </c>
      <c r="H8" s="3"/>
    </row>
    <row r="9">
      <c r="A9" s="3" t="s">
        <v>196</v>
      </c>
      <c r="B9" s="3" t="s">
        <v>197</v>
      </c>
      <c r="C9" s="15">
        <v>8500000.0</v>
      </c>
      <c r="D9" s="3" t="s">
        <v>108</v>
      </c>
      <c r="E9" s="3">
        <v>6.0</v>
      </c>
      <c r="F9" s="3" t="s">
        <v>198</v>
      </c>
      <c r="G9" s="3" t="s">
        <v>162</v>
      </c>
      <c r="H9" s="3"/>
    </row>
    <row r="10">
      <c r="A10" s="3" t="s">
        <v>199</v>
      </c>
      <c r="B10" s="3" t="s">
        <v>201</v>
      </c>
      <c r="C10" s="15">
        <v>1.782E7</v>
      </c>
      <c r="D10" s="3" t="s">
        <v>176</v>
      </c>
      <c r="E10" s="3">
        <v>24.0</v>
      </c>
      <c r="F10" s="3" t="s">
        <v>154</v>
      </c>
      <c r="G10" s="3" t="s">
        <v>162</v>
      </c>
      <c r="H10" s="3"/>
    </row>
    <row r="11">
      <c r="A11" s="3" t="s">
        <v>202</v>
      </c>
      <c r="B11" s="3" t="s">
        <v>203</v>
      </c>
      <c r="C11" s="15">
        <v>4.64E8</v>
      </c>
      <c r="D11" s="3" t="s">
        <v>176</v>
      </c>
      <c r="E11" s="3">
        <v>26.0</v>
      </c>
      <c r="F11" s="3" t="s">
        <v>207</v>
      </c>
      <c r="G11" s="3" t="s">
        <v>162</v>
      </c>
      <c r="H11" s="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0"/>
    <col customWidth="1" min="2" max="2" width="10.0"/>
    <col customWidth="1" min="3" max="3" width="60.0"/>
    <col customWidth="1" min="4" max="4" width="10.0"/>
    <col customWidth="1" min="5" max="26" width="8.71"/>
  </cols>
  <sheetData>
    <row r="1">
      <c r="A1" s="2" t="s">
        <v>23</v>
      </c>
      <c r="B1" s="2" t="s">
        <v>320</v>
      </c>
      <c r="C1" s="2" t="s">
        <v>85</v>
      </c>
      <c r="D1" s="2" t="s">
        <v>325</v>
      </c>
    </row>
    <row r="2">
      <c r="A2" s="3" t="s">
        <v>227</v>
      </c>
      <c r="B2" s="3">
        <v>1.0</v>
      </c>
      <c r="C2" s="3"/>
      <c r="D2" s="16" t="s">
        <v>96</v>
      </c>
    </row>
    <row r="3">
      <c r="A3" s="3" t="s">
        <v>204</v>
      </c>
      <c r="B3" s="3">
        <v>1.0</v>
      </c>
      <c r="C3" s="3"/>
      <c r="D3" s="16" t="s">
        <v>96</v>
      </c>
    </row>
    <row r="4">
      <c r="A4" s="3" t="s">
        <v>297</v>
      </c>
      <c r="B4" s="3">
        <v>1.0</v>
      </c>
      <c r="C4" s="3"/>
      <c r="D4" s="16" t="s">
        <v>96</v>
      </c>
    </row>
    <row r="5">
      <c r="A5" s="3" t="s">
        <v>347</v>
      </c>
      <c r="B5" s="3">
        <v>6.0</v>
      </c>
      <c r="C5" s="3"/>
      <c r="D5" s="16" t="s">
        <v>96</v>
      </c>
    </row>
    <row r="6">
      <c r="A6" s="3" t="s">
        <v>352</v>
      </c>
      <c r="B6" s="3">
        <v>0.0</v>
      </c>
      <c r="C6" s="3" t="s">
        <v>353</v>
      </c>
      <c r="D6" s="16" t="s">
        <v>96</v>
      </c>
    </row>
    <row r="7">
      <c r="A7" s="3" t="s">
        <v>360</v>
      </c>
      <c r="B7" s="3">
        <v>0.0</v>
      </c>
      <c r="C7" s="3" t="s">
        <v>361</v>
      </c>
      <c r="D7" s="16" t="s">
        <v>96</v>
      </c>
    </row>
    <row r="8">
      <c r="A8" s="3" t="s">
        <v>368</v>
      </c>
      <c r="B8" s="3">
        <v>0.0</v>
      </c>
      <c r="C8" s="3" t="s">
        <v>361</v>
      </c>
      <c r="D8" s="16" t="s">
        <v>96</v>
      </c>
    </row>
    <row r="9">
      <c r="A9" s="3" t="s">
        <v>330</v>
      </c>
      <c r="B9" s="3">
        <v>1.0</v>
      </c>
      <c r="C9" s="3"/>
      <c r="D9" s="16" t="s">
        <v>96</v>
      </c>
    </row>
    <row r="10">
      <c r="A10" s="3" t="s">
        <v>233</v>
      </c>
      <c r="B10" s="3">
        <v>1.0</v>
      </c>
      <c r="C10" s="3"/>
      <c r="D10" s="16" t="s">
        <v>96</v>
      </c>
    </row>
    <row r="11">
      <c r="A11" s="3" t="s">
        <v>255</v>
      </c>
      <c r="B11" s="3">
        <v>1.0</v>
      </c>
      <c r="C11" s="3"/>
      <c r="D11" s="16" t="s">
        <v>96</v>
      </c>
    </row>
    <row r="12">
      <c r="A12" s="3" t="s">
        <v>394</v>
      </c>
      <c r="B12" s="3">
        <v>0.0</v>
      </c>
      <c r="C12" s="3" t="s">
        <v>396</v>
      </c>
      <c r="D12" s="16" t="s">
        <v>96</v>
      </c>
    </row>
    <row r="13">
      <c r="A13" s="3" t="s">
        <v>407</v>
      </c>
      <c r="B13" s="3">
        <v>1.0</v>
      </c>
      <c r="C13" s="3"/>
      <c r="D13" s="16" t="s">
        <v>96</v>
      </c>
    </row>
    <row r="14">
      <c r="A14" s="3" t="s">
        <v>243</v>
      </c>
      <c r="B14" s="3">
        <v>1.0</v>
      </c>
      <c r="C14" s="3"/>
      <c r="D14" s="16" t="s">
        <v>96</v>
      </c>
    </row>
    <row r="15">
      <c r="A15" s="3" t="s">
        <v>427</v>
      </c>
      <c r="B15" s="3">
        <v>0.0</v>
      </c>
      <c r="C15" s="3" t="s">
        <v>428</v>
      </c>
      <c r="D15" s="16" t="s">
        <v>96</v>
      </c>
    </row>
    <row r="16">
      <c r="A16" s="3" t="s">
        <v>437</v>
      </c>
      <c r="B16" s="3">
        <v>0.0</v>
      </c>
      <c r="C16" s="3" t="s">
        <v>438</v>
      </c>
      <c r="D16" s="16" t="s">
        <v>96</v>
      </c>
    </row>
    <row r="17">
      <c r="A17" s="3" t="s">
        <v>273</v>
      </c>
      <c r="B17" s="3">
        <v>1.0</v>
      </c>
      <c r="C17" s="3"/>
      <c r="D17" s="16" t="s">
        <v>96</v>
      </c>
    </row>
    <row r="18">
      <c r="A18" s="3" t="s">
        <v>454</v>
      </c>
      <c r="B18" s="3">
        <v>0.0</v>
      </c>
      <c r="C18" s="3" t="s">
        <v>455</v>
      </c>
      <c r="D18" s="16" t="s">
        <v>96</v>
      </c>
    </row>
    <row r="19">
      <c r="A19" s="3" t="s">
        <v>308</v>
      </c>
      <c r="B19" s="3">
        <v>4.0</v>
      </c>
      <c r="C19" s="3"/>
      <c r="D19" s="16" t="s">
        <v>96</v>
      </c>
    </row>
    <row r="20">
      <c r="A20" s="3" t="s">
        <v>324</v>
      </c>
      <c r="B20" s="3">
        <v>1.0</v>
      </c>
      <c r="C20" s="3"/>
      <c r="D20" s="16" t="s">
        <v>96</v>
      </c>
    </row>
    <row r="21" ht="15.75" customHeight="1">
      <c r="A21" s="3" t="s">
        <v>477</v>
      </c>
      <c r="B21" s="3">
        <v>0.0</v>
      </c>
      <c r="C21" s="3" t="s">
        <v>478</v>
      </c>
      <c r="D21" s="16" t="s">
        <v>96</v>
      </c>
    </row>
    <row r="22" ht="15.75" customHeight="1">
      <c r="A22" s="3" t="s">
        <v>487</v>
      </c>
      <c r="B22" s="3">
        <v>0.0</v>
      </c>
      <c r="C22" s="3" t="s">
        <v>490</v>
      </c>
      <c r="D22" s="16" t="s">
        <v>96</v>
      </c>
    </row>
    <row r="23" ht="15.75" customHeight="1">
      <c r="A23" s="3" t="s">
        <v>498</v>
      </c>
      <c r="B23" s="3">
        <v>0.0</v>
      </c>
      <c r="C23" s="3" t="s">
        <v>500</v>
      </c>
      <c r="D23" s="16" t="s">
        <v>96</v>
      </c>
    </row>
    <row r="24" ht="15.75" customHeight="1">
      <c r="A24" s="3" t="s">
        <v>502</v>
      </c>
      <c r="B24" s="3">
        <v>0.0</v>
      </c>
      <c r="C24" s="3" t="s">
        <v>503</v>
      </c>
      <c r="D24" s="16" t="s">
        <v>96</v>
      </c>
    </row>
    <row r="25" ht="15.75" customHeight="1">
      <c r="A25" s="3" t="s">
        <v>314</v>
      </c>
      <c r="B25" s="3">
        <v>1.0</v>
      </c>
      <c r="C25" s="3"/>
      <c r="D25" s="16" t="s">
        <v>96</v>
      </c>
    </row>
    <row r="26" ht="15.75" customHeight="1">
      <c r="A26" s="3" t="s">
        <v>510</v>
      </c>
      <c r="B26" s="3">
        <v>0.0</v>
      </c>
      <c r="C26" s="3" t="s">
        <v>511</v>
      </c>
      <c r="D26" s="16" t="s">
        <v>96</v>
      </c>
    </row>
    <row r="27" ht="15.75" customHeight="1">
      <c r="A27" s="3" t="s">
        <v>524</v>
      </c>
      <c r="B27" s="3">
        <v>0.0</v>
      </c>
      <c r="C27" s="3" t="s">
        <v>526</v>
      </c>
      <c r="D27" s="16" t="s">
        <v>96</v>
      </c>
    </row>
    <row r="28" ht="15.75" customHeight="1">
      <c r="A28" s="3" t="s">
        <v>530</v>
      </c>
      <c r="B28" s="3">
        <v>0.0</v>
      </c>
      <c r="C28" s="3" t="s">
        <v>531</v>
      </c>
      <c r="D28" s="16" t="s">
        <v>96</v>
      </c>
    </row>
    <row r="29" ht="15.75" customHeight="1">
      <c r="A29" s="3" t="s">
        <v>541</v>
      </c>
      <c r="B29" s="3">
        <v>0.0</v>
      </c>
      <c r="C29" s="3" t="s">
        <v>542</v>
      </c>
      <c r="D29" s="16" t="s">
        <v>96</v>
      </c>
    </row>
    <row r="30" ht="15.75" customHeight="1">
      <c r="A30" s="3" t="s">
        <v>551</v>
      </c>
      <c r="B30" s="3">
        <v>0.0</v>
      </c>
      <c r="C30" s="3" t="s">
        <v>552</v>
      </c>
      <c r="D30" s="16" t="s">
        <v>96</v>
      </c>
    </row>
    <row r="31" ht="15.75" customHeight="1">
      <c r="A31" s="3" t="s">
        <v>568</v>
      </c>
      <c r="B31" s="3">
        <v>0.0</v>
      </c>
      <c r="C31" s="3" t="s">
        <v>569</v>
      </c>
      <c r="D31" s="16" t="s">
        <v>96</v>
      </c>
    </row>
    <row r="32" ht="15.75" customHeight="1">
      <c r="A32" s="3" t="s">
        <v>574</v>
      </c>
      <c r="B32" s="3">
        <v>0.0</v>
      </c>
      <c r="C32" s="3" t="s">
        <v>575</v>
      </c>
      <c r="D32" s="16" t="s">
        <v>96</v>
      </c>
    </row>
    <row r="33" ht="15.75" customHeight="1">
      <c r="A33" s="3" t="s">
        <v>292</v>
      </c>
      <c r="B33" s="3">
        <v>1.0</v>
      </c>
      <c r="C33" s="3"/>
      <c r="D33" s="16" t="s">
        <v>96</v>
      </c>
    </row>
    <row r="34" ht="15.75" customHeight="1">
      <c r="A34" s="3" t="s">
        <v>443</v>
      </c>
      <c r="B34" s="3">
        <v>1.0</v>
      </c>
      <c r="C34" s="3"/>
      <c r="D34" s="16" t="s">
        <v>96</v>
      </c>
    </row>
    <row r="35" ht="15.75" customHeight="1">
      <c r="A35" s="3" t="s">
        <v>590</v>
      </c>
      <c r="B35" s="3">
        <v>0.0</v>
      </c>
      <c r="C35" s="3" t="s">
        <v>593</v>
      </c>
      <c r="D35" s="16" t="s">
        <v>96</v>
      </c>
    </row>
    <row r="36" ht="15.75" customHeight="1">
      <c r="A36" s="3" t="s">
        <v>98</v>
      </c>
      <c r="B36" s="3">
        <v>2.0</v>
      </c>
      <c r="C36" s="3"/>
      <c r="D36" s="16" t="s">
        <v>96</v>
      </c>
    </row>
    <row r="37" ht="15.75" customHeight="1">
      <c r="A37" s="3" t="s">
        <v>279</v>
      </c>
      <c r="B37" s="3">
        <v>1.0</v>
      </c>
      <c r="C37" s="3"/>
      <c r="D37" s="16" t="s">
        <v>96</v>
      </c>
    </row>
    <row r="38" ht="15.75" customHeight="1">
      <c r="A38" s="3" t="s">
        <v>305</v>
      </c>
      <c r="B38" s="3">
        <v>1.0</v>
      </c>
      <c r="C38" s="3"/>
      <c r="D38" s="16" t="s">
        <v>96</v>
      </c>
    </row>
    <row r="39" ht="15.75" customHeight="1">
      <c r="A39" s="3" t="s">
        <v>554</v>
      </c>
      <c r="B39" s="3">
        <v>1.0</v>
      </c>
      <c r="C39" s="3"/>
      <c r="D39" s="16" t="s">
        <v>96</v>
      </c>
    </row>
    <row r="40" ht="15.75" customHeight="1">
      <c r="A40" s="3" t="s">
        <v>135</v>
      </c>
      <c r="B40" s="3">
        <v>2.0</v>
      </c>
      <c r="C40" s="3"/>
      <c r="D40" s="16" t="s">
        <v>96</v>
      </c>
    </row>
    <row r="41" ht="15.75" customHeight="1">
      <c r="A41" s="3" t="s">
        <v>635</v>
      </c>
      <c r="B41" s="3">
        <v>0.0</v>
      </c>
      <c r="C41" s="3" t="s">
        <v>636</v>
      </c>
      <c r="D41" s="16" t="s">
        <v>96</v>
      </c>
    </row>
    <row r="42" ht="15.75" customHeight="1">
      <c r="A42" s="3" t="s">
        <v>117</v>
      </c>
      <c r="B42" s="3">
        <v>2.0</v>
      </c>
      <c r="C42" s="3"/>
      <c r="D42" s="16" t="s">
        <v>96</v>
      </c>
    </row>
    <row r="43" ht="15.75" customHeight="1">
      <c r="A43" s="3" t="s">
        <v>129</v>
      </c>
      <c r="B43" s="3">
        <v>1.0</v>
      </c>
      <c r="C43" s="3"/>
      <c r="D43" s="16" t="s">
        <v>96</v>
      </c>
    </row>
    <row r="44" ht="15.75" customHeight="1">
      <c r="A44" s="3" t="s">
        <v>146</v>
      </c>
      <c r="B44" s="3">
        <v>1.0</v>
      </c>
      <c r="C44" s="3"/>
      <c r="D44" s="16" t="s">
        <v>96</v>
      </c>
    </row>
    <row r="45" ht="15.75" customHeight="1">
      <c r="A45" s="3" t="s">
        <v>181</v>
      </c>
      <c r="B45" s="3">
        <v>2.0</v>
      </c>
      <c r="C45" s="3"/>
      <c r="D45" s="16" t="s">
        <v>96</v>
      </c>
    </row>
    <row r="46" ht="15.75" customHeight="1">
      <c r="A46" s="3" t="s">
        <v>210</v>
      </c>
      <c r="B46" s="3">
        <v>3.0</v>
      </c>
      <c r="C46" s="3"/>
      <c r="D46" s="16" t="s">
        <v>96</v>
      </c>
    </row>
    <row r="47" ht="15.75" customHeight="1">
      <c r="A47" s="3" t="s">
        <v>113</v>
      </c>
      <c r="B47" s="3">
        <v>1.0</v>
      </c>
      <c r="C47" s="3"/>
      <c r="D47" s="16" t="s">
        <v>96</v>
      </c>
    </row>
    <row r="48" ht="15.75" customHeight="1">
      <c r="A48" s="3" t="s">
        <v>678</v>
      </c>
      <c r="B48" s="3">
        <v>0.0</v>
      </c>
      <c r="C48" s="3" t="s">
        <v>679</v>
      </c>
      <c r="D48" s="16" t="s">
        <v>96</v>
      </c>
    </row>
    <row r="49" ht="15.75" customHeight="1">
      <c r="A49" s="3" t="s">
        <v>93</v>
      </c>
      <c r="B49" s="3">
        <v>4.0</v>
      </c>
      <c r="C49" s="3"/>
      <c r="D49" s="16" t="s">
        <v>96</v>
      </c>
    </row>
    <row r="50" ht="15.75" customHeight="1">
      <c r="A50" s="3" t="s">
        <v>371</v>
      </c>
      <c r="B50" s="3">
        <v>1.0</v>
      </c>
      <c r="C50" s="3" t="s">
        <v>691</v>
      </c>
      <c r="D50" s="16" t="s">
        <v>96</v>
      </c>
    </row>
    <row r="51" ht="15.75" customHeight="1">
      <c r="A51" s="3" t="s">
        <v>699</v>
      </c>
      <c r="B51" s="3">
        <v>1.0</v>
      </c>
      <c r="C51" s="3" t="s">
        <v>700</v>
      </c>
      <c r="D51" s="16" t="s">
        <v>96</v>
      </c>
    </row>
    <row r="52" ht="15.75" customHeight="1">
      <c r="A52" s="3" t="s">
        <v>707</v>
      </c>
      <c r="B52" s="3">
        <v>1.0</v>
      </c>
      <c r="C52" s="3" t="s">
        <v>708</v>
      </c>
      <c r="D52" s="16" t="s">
        <v>96</v>
      </c>
    </row>
    <row r="53" ht="15.75" customHeight="1">
      <c r="A53" s="3" t="s">
        <v>393</v>
      </c>
      <c r="B53" s="3">
        <v>2.0</v>
      </c>
      <c r="C53" s="3" t="s">
        <v>713</v>
      </c>
      <c r="D53" s="16" t="s">
        <v>96</v>
      </c>
    </row>
    <row r="54" ht="15.75" customHeight="1">
      <c r="A54" s="3" t="s">
        <v>607</v>
      </c>
      <c r="B54" s="3">
        <v>2.0</v>
      </c>
      <c r="C54" s="3" t="s">
        <v>720</v>
      </c>
      <c r="D54" s="16" t="s">
        <v>96</v>
      </c>
    </row>
    <row r="55" ht="15.75" customHeight="1">
      <c r="A55" s="3" t="s">
        <v>620</v>
      </c>
      <c r="B55" s="3">
        <v>2.0</v>
      </c>
      <c r="C55" s="3" t="s">
        <v>723</v>
      </c>
      <c r="D55" s="16" t="s">
        <v>96</v>
      </c>
    </row>
    <row r="56" ht="15.75" customHeight="1">
      <c r="A56" s="3" t="s">
        <v>662</v>
      </c>
      <c r="B56" s="3">
        <v>1.0</v>
      </c>
      <c r="C56" s="3" t="s">
        <v>729</v>
      </c>
      <c r="D56" s="16" t="s">
        <v>96</v>
      </c>
    </row>
    <row r="57" ht="15.75" customHeight="1">
      <c r="A57" s="3" t="s">
        <v>734</v>
      </c>
      <c r="B57" s="3">
        <v>1.0</v>
      </c>
      <c r="C57" s="3" t="s">
        <v>736</v>
      </c>
      <c r="D57" s="16" t="s">
        <v>96</v>
      </c>
    </row>
    <row r="58" ht="15.75" customHeight="1">
      <c r="A58" s="3" t="s">
        <v>746</v>
      </c>
      <c r="B58" s="3">
        <v>1.0</v>
      </c>
      <c r="C58" s="3" t="s">
        <v>747</v>
      </c>
      <c r="D58" s="16" t="s">
        <v>96</v>
      </c>
    </row>
    <row r="59" ht="15.75" customHeight="1">
      <c r="A59" s="3" t="s">
        <v>751</v>
      </c>
      <c r="B59" s="3">
        <v>1.0</v>
      </c>
      <c r="C59" s="3" t="s">
        <v>752</v>
      </c>
      <c r="D59" s="16" t="s">
        <v>96</v>
      </c>
    </row>
    <row r="60" ht="15.75" customHeight="1">
      <c r="A60" s="3" t="s">
        <v>758</v>
      </c>
      <c r="B60" s="3">
        <v>1.0</v>
      </c>
      <c r="C60" s="3" t="s">
        <v>759</v>
      </c>
      <c r="D60" s="16" t="s">
        <v>96</v>
      </c>
    </row>
    <row r="61" ht="15.75" customHeight="1">
      <c r="A61" s="3" t="s">
        <v>761</v>
      </c>
      <c r="B61" s="3">
        <v>1.0</v>
      </c>
      <c r="C61" s="3" t="s">
        <v>763</v>
      </c>
      <c r="D61" s="16" t="s">
        <v>96</v>
      </c>
    </row>
    <row r="62" ht="15.75" customHeight="1">
      <c r="A62" s="3" t="s">
        <v>772</v>
      </c>
      <c r="B62" s="3">
        <v>0.0</v>
      </c>
      <c r="C62" s="3" t="s">
        <v>777</v>
      </c>
      <c r="D62" s="16" t="s">
        <v>96</v>
      </c>
    </row>
    <row r="63" ht="15.75" customHeight="1">
      <c r="A63" s="3" t="s">
        <v>779</v>
      </c>
      <c r="B63" s="3">
        <v>0.0</v>
      </c>
      <c r="C63" s="3" t="s">
        <v>777</v>
      </c>
      <c r="D63" s="16" t="s">
        <v>96</v>
      </c>
    </row>
    <row r="64" ht="15.75" customHeight="1">
      <c r="A64" s="3" t="s">
        <v>787</v>
      </c>
      <c r="B64" s="3">
        <v>1.0</v>
      </c>
      <c r="C64" s="3" t="s">
        <v>788</v>
      </c>
      <c r="D64" s="16" t="s">
        <v>96</v>
      </c>
    </row>
    <row r="65" ht="15.75" customHeight="1">
      <c r="A65" s="3" t="s">
        <v>798</v>
      </c>
      <c r="B65" s="3">
        <v>0.0</v>
      </c>
      <c r="C65" s="3" t="s">
        <v>777</v>
      </c>
      <c r="D65" s="16" t="s">
        <v>96</v>
      </c>
    </row>
    <row r="66" ht="15.75" customHeight="1">
      <c r="A66" s="3" t="s">
        <v>801</v>
      </c>
      <c r="B66" s="3">
        <v>0.0</v>
      </c>
      <c r="C66" s="3" t="s">
        <v>802</v>
      </c>
      <c r="D66" s="16" t="s">
        <v>96</v>
      </c>
    </row>
    <row r="67" ht="15.75" customHeight="1">
      <c r="A67" s="3" t="s">
        <v>807</v>
      </c>
      <c r="B67" s="3">
        <v>0.0</v>
      </c>
      <c r="C67" s="3" t="s">
        <v>777</v>
      </c>
      <c r="D67" s="16" t="s">
        <v>96</v>
      </c>
    </row>
    <row r="68" ht="15.75" customHeight="1">
      <c r="A68" s="3" t="s">
        <v>810</v>
      </c>
      <c r="B68" s="3">
        <v>0.0</v>
      </c>
      <c r="C68" s="3" t="s">
        <v>777</v>
      </c>
      <c r="D68" s="16" t="s">
        <v>96</v>
      </c>
    </row>
    <row r="69" ht="15.75" customHeight="1">
      <c r="A69" s="3" t="s">
        <v>817</v>
      </c>
      <c r="B69" s="3">
        <v>0.0</v>
      </c>
      <c r="C69" s="3" t="s">
        <v>777</v>
      </c>
      <c r="D69" s="16" t="s">
        <v>96</v>
      </c>
    </row>
    <row r="70" ht="15.75" customHeight="1">
      <c r="A70" s="3" t="s">
        <v>827</v>
      </c>
      <c r="B70" s="3">
        <v>0.0</v>
      </c>
      <c r="C70" s="3" t="s">
        <v>777</v>
      </c>
      <c r="D70" s="16" t="s">
        <v>96</v>
      </c>
    </row>
    <row r="71" ht="15.75" customHeight="1">
      <c r="A71" s="3" t="s">
        <v>831</v>
      </c>
      <c r="B71" s="3">
        <v>0.0</v>
      </c>
      <c r="C71" s="3" t="s">
        <v>777</v>
      </c>
      <c r="D71" s="16" t="s">
        <v>96</v>
      </c>
    </row>
    <row r="72" ht="15.75" customHeight="1">
      <c r="A72" s="3" t="s">
        <v>835</v>
      </c>
      <c r="B72" s="3">
        <v>0.0</v>
      </c>
      <c r="C72" s="3" t="s">
        <v>777</v>
      </c>
      <c r="D72" s="16" t="s">
        <v>96</v>
      </c>
    </row>
    <row r="73" ht="15.75" customHeight="1">
      <c r="A73" s="3" t="s">
        <v>840</v>
      </c>
      <c r="B73" s="3">
        <v>0.0</v>
      </c>
      <c r="C73" s="3" t="s">
        <v>777</v>
      </c>
      <c r="D73" s="16" t="s">
        <v>96</v>
      </c>
    </row>
    <row r="74" ht="15.75" customHeight="1">
      <c r="A74" s="3" t="s">
        <v>847</v>
      </c>
      <c r="B74" s="3">
        <v>0.0</v>
      </c>
      <c r="C74" s="3" t="s">
        <v>777</v>
      </c>
      <c r="D74" s="16" t="s">
        <v>96</v>
      </c>
    </row>
    <row r="75" ht="15.75" customHeight="1">
      <c r="A75" s="3" t="s">
        <v>852</v>
      </c>
      <c r="B75" s="3">
        <v>0.0</v>
      </c>
      <c r="C75" s="3" t="s">
        <v>777</v>
      </c>
      <c r="D75" s="16" t="s">
        <v>96</v>
      </c>
    </row>
    <row r="76" ht="15.75" customHeight="1">
      <c r="A76" s="3" t="s">
        <v>856</v>
      </c>
      <c r="B76" s="3">
        <v>0.0</v>
      </c>
      <c r="C76" s="3" t="s">
        <v>777</v>
      </c>
      <c r="D76" s="16" t="s">
        <v>96</v>
      </c>
    </row>
    <row r="77" ht="15.75" customHeight="1">
      <c r="A77" s="3" t="s">
        <v>864</v>
      </c>
      <c r="B77" s="3">
        <v>0.0</v>
      </c>
      <c r="C77" s="3" t="s">
        <v>777</v>
      </c>
      <c r="D77" s="16" t="s">
        <v>96</v>
      </c>
    </row>
    <row r="78" ht="15.75" customHeight="1">
      <c r="A78" s="3" t="s">
        <v>865</v>
      </c>
      <c r="B78" s="3">
        <v>0.0</v>
      </c>
      <c r="C78" s="3" t="s">
        <v>777</v>
      </c>
      <c r="D78" s="16" t="s">
        <v>96</v>
      </c>
    </row>
    <row r="79" ht="15.75" customHeight="1">
      <c r="A79" s="3" t="s">
        <v>870</v>
      </c>
      <c r="B79" s="3">
        <v>0.0</v>
      </c>
      <c r="C79" s="3" t="s">
        <v>777</v>
      </c>
      <c r="D79" s="16" t="s">
        <v>96</v>
      </c>
    </row>
    <row r="80" ht="15.75" customHeight="1">
      <c r="A80" s="3" t="s">
        <v>873</v>
      </c>
      <c r="B80" s="3">
        <v>0.0</v>
      </c>
      <c r="C80" s="3" t="s">
        <v>777</v>
      </c>
      <c r="D80" s="16" t="s">
        <v>96</v>
      </c>
    </row>
    <row r="81" ht="15.75" customHeight="1">
      <c r="A81" s="3" t="s">
        <v>876</v>
      </c>
      <c r="B81" s="3">
        <v>0.0</v>
      </c>
      <c r="C81" s="3" t="s">
        <v>777</v>
      </c>
      <c r="D81" s="16" t="s">
        <v>96</v>
      </c>
    </row>
    <row r="82" ht="15.75" customHeight="1">
      <c r="A82" s="3" t="s">
        <v>880</v>
      </c>
      <c r="B82" s="3">
        <v>0.0</v>
      </c>
      <c r="C82" s="3" t="s">
        <v>777</v>
      </c>
      <c r="D82" s="16" t="s">
        <v>96</v>
      </c>
    </row>
    <row r="83" ht="15.75" customHeight="1">
      <c r="A83" s="3" t="s">
        <v>889</v>
      </c>
      <c r="B83" s="3">
        <v>0.0</v>
      </c>
      <c r="C83" s="3" t="s">
        <v>777</v>
      </c>
      <c r="D83" s="16" t="s">
        <v>96</v>
      </c>
    </row>
    <row r="84" ht="15.75" customHeight="1">
      <c r="A84" s="3" t="s">
        <v>896</v>
      </c>
      <c r="B84" s="3">
        <v>0.0</v>
      </c>
      <c r="C84" s="3" t="s">
        <v>777</v>
      </c>
      <c r="D84" s="16" t="s">
        <v>96</v>
      </c>
    </row>
    <row r="85" ht="15.75" customHeight="1">
      <c r="A85" s="3" t="s">
        <v>900</v>
      </c>
      <c r="B85" s="3">
        <v>0.0</v>
      </c>
      <c r="C85" s="3" t="s">
        <v>777</v>
      </c>
      <c r="D85" s="16" t="s">
        <v>96</v>
      </c>
    </row>
    <row r="86" ht="15.75" customHeight="1">
      <c r="A86" s="3" t="s">
        <v>365</v>
      </c>
      <c r="B86" s="3">
        <v>2.0</v>
      </c>
      <c r="C86" s="3" t="s">
        <v>907</v>
      </c>
      <c r="D86" s="16" t="s">
        <v>96</v>
      </c>
    </row>
    <row r="87" ht="15.75" customHeight="1">
      <c r="A87" s="3" t="s">
        <v>914</v>
      </c>
      <c r="B87" s="3">
        <v>1.0</v>
      </c>
      <c r="C87" s="3" t="s">
        <v>918</v>
      </c>
      <c r="D87" s="16" t="s">
        <v>96</v>
      </c>
    </row>
    <row r="88" ht="15.75" customHeight="1">
      <c r="A88" s="3" t="s">
        <v>384</v>
      </c>
      <c r="B88" s="3">
        <v>1.0</v>
      </c>
      <c r="C88" s="3" t="s">
        <v>927</v>
      </c>
      <c r="D88" s="16" t="s">
        <v>96</v>
      </c>
    </row>
    <row r="89" ht="15.75" customHeight="1">
      <c r="A89" s="3" t="s">
        <v>424</v>
      </c>
      <c r="B89" s="3">
        <v>2.0</v>
      </c>
      <c r="C89" s="3" t="s">
        <v>934</v>
      </c>
      <c r="D89" s="16" t="s">
        <v>96</v>
      </c>
    </row>
    <row r="90" ht="15.75" customHeight="1">
      <c r="A90" s="3" t="s">
        <v>439</v>
      </c>
      <c r="B90" s="3">
        <v>1.0</v>
      </c>
      <c r="C90" s="3" t="s">
        <v>936</v>
      </c>
      <c r="D90" s="16" t="s">
        <v>96</v>
      </c>
    </row>
    <row r="91" ht="15.75" customHeight="1">
      <c r="A91" s="3" t="s">
        <v>451</v>
      </c>
      <c r="B91" s="3">
        <v>1.0</v>
      </c>
      <c r="C91" s="3" t="s">
        <v>944</v>
      </c>
      <c r="D91" s="16" t="s">
        <v>96</v>
      </c>
    </row>
    <row r="92" ht="15.75" customHeight="1">
      <c r="A92" s="3" t="s">
        <v>456</v>
      </c>
      <c r="B92" s="3">
        <v>1.0</v>
      </c>
      <c r="C92" s="3" t="s">
        <v>949</v>
      </c>
      <c r="D92" s="16" t="s">
        <v>96</v>
      </c>
    </row>
    <row r="93" ht="15.75" customHeight="1">
      <c r="A93" s="3" t="s">
        <v>474</v>
      </c>
      <c r="B93" s="3">
        <v>1.0</v>
      </c>
      <c r="C93" s="3" t="s">
        <v>955</v>
      </c>
      <c r="D93" s="16" t="s">
        <v>96</v>
      </c>
    </row>
    <row r="94" ht="15.75" customHeight="1">
      <c r="A94" s="3" t="s">
        <v>480</v>
      </c>
      <c r="B94" s="3">
        <v>3.0</v>
      </c>
      <c r="C94" s="3" t="s">
        <v>969</v>
      </c>
      <c r="D94" s="16" t="s">
        <v>96</v>
      </c>
    </row>
    <row r="95" ht="15.75" customHeight="1">
      <c r="A95" s="3" t="s">
        <v>506</v>
      </c>
      <c r="B95" s="3">
        <v>2.0</v>
      </c>
      <c r="C95" s="3" t="s">
        <v>975</v>
      </c>
      <c r="D95" s="16" t="s">
        <v>96</v>
      </c>
    </row>
    <row r="96" ht="15.75" customHeight="1">
      <c r="A96" s="3" t="s">
        <v>528</v>
      </c>
      <c r="B96" s="3">
        <v>1.0</v>
      </c>
      <c r="C96" s="3" t="s">
        <v>986</v>
      </c>
      <c r="D96" s="16" t="s">
        <v>96</v>
      </c>
    </row>
    <row r="97" ht="15.75" customHeight="1">
      <c r="A97" s="3" t="s">
        <v>536</v>
      </c>
      <c r="B97" s="3">
        <v>1.0</v>
      </c>
      <c r="C97" s="3" t="s">
        <v>987</v>
      </c>
      <c r="D97" s="16" t="s">
        <v>96</v>
      </c>
    </row>
    <row r="98" ht="15.75" customHeight="1">
      <c r="A98" s="3" t="s">
        <v>549</v>
      </c>
      <c r="B98" s="3">
        <v>1.0</v>
      </c>
      <c r="C98" s="3" t="s">
        <v>997</v>
      </c>
      <c r="D98" s="16" t="s">
        <v>96</v>
      </c>
    </row>
    <row r="99" ht="15.75" customHeight="1">
      <c r="A99" s="3" t="s">
        <v>570</v>
      </c>
      <c r="B99" s="3">
        <v>1.0</v>
      </c>
      <c r="C99" s="3" t="s">
        <v>1004</v>
      </c>
      <c r="D99" s="16" t="s">
        <v>96</v>
      </c>
    </row>
    <row r="100" ht="15.75" customHeight="1">
      <c r="A100" s="3" t="s">
        <v>580</v>
      </c>
      <c r="B100" s="3">
        <v>1.0</v>
      </c>
      <c r="C100" s="3" t="s">
        <v>1013</v>
      </c>
      <c r="D100" s="16" t="s">
        <v>96</v>
      </c>
    </row>
    <row r="101" ht="15.75" customHeight="1">
      <c r="A101" s="3" t="s">
        <v>586</v>
      </c>
      <c r="B101" s="3">
        <v>1.0</v>
      </c>
      <c r="C101" s="3" t="s">
        <v>1022</v>
      </c>
      <c r="D101" s="16" t="s">
        <v>96</v>
      </c>
    </row>
    <row r="102" ht="15.75" customHeight="1">
      <c r="A102" s="3" t="s">
        <v>596</v>
      </c>
      <c r="B102" s="3">
        <v>1.0</v>
      </c>
      <c r="C102" s="3" t="s">
        <v>1025</v>
      </c>
      <c r="D102" s="16" t="s">
        <v>96</v>
      </c>
    </row>
    <row r="103" ht="15.75" customHeight="1">
      <c r="A103" s="3" t="s">
        <v>637</v>
      </c>
      <c r="B103" s="3">
        <v>1.0</v>
      </c>
      <c r="C103" s="3" t="s">
        <v>1035</v>
      </c>
      <c r="D103" s="16" t="s">
        <v>96</v>
      </c>
    </row>
    <row r="104" ht="15.75" customHeight="1">
      <c r="A104" s="3" t="s">
        <v>645</v>
      </c>
      <c r="B104" s="3">
        <v>1.0</v>
      </c>
      <c r="C104" s="3" t="s">
        <v>1041</v>
      </c>
      <c r="D104" s="16" t="s">
        <v>96</v>
      </c>
    </row>
    <row r="105" ht="15.75" customHeight="1">
      <c r="A105" s="3" t="s">
        <v>654</v>
      </c>
      <c r="B105" s="3">
        <v>1.0</v>
      </c>
      <c r="C105" s="3" t="s">
        <v>1043</v>
      </c>
      <c r="D105" s="16" t="s">
        <v>96</v>
      </c>
    </row>
    <row r="106" ht="15.75" customHeight="1">
      <c r="A106" s="3" t="s">
        <v>658</v>
      </c>
      <c r="B106" s="3">
        <v>1.0</v>
      </c>
      <c r="C106" s="3" t="s">
        <v>1051</v>
      </c>
      <c r="D106" s="16" t="s">
        <v>96</v>
      </c>
    </row>
    <row r="107" ht="15.75" customHeight="1">
      <c r="A107" s="3" t="s">
        <v>681</v>
      </c>
      <c r="B107" s="3">
        <v>2.0</v>
      </c>
      <c r="C107" s="3" t="s">
        <v>1056</v>
      </c>
      <c r="D107" s="16" t="s">
        <v>96</v>
      </c>
    </row>
    <row r="108" ht="15.75" customHeight="1">
      <c r="A108" s="3" t="s">
        <v>702</v>
      </c>
      <c r="B108" s="3">
        <v>1.0</v>
      </c>
      <c r="C108" s="3" t="s">
        <v>1063</v>
      </c>
      <c r="D108" s="16" t="s">
        <v>96</v>
      </c>
    </row>
    <row r="109" ht="15.75" customHeight="1">
      <c r="A109" s="3" t="s">
        <v>714</v>
      </c>
      <c r="B109" s="3">
        <v>1.0</v>
      </c>
      <c r="C109" s="3" t="s">
        <v>1069</v>
      </c>
      <c r="D109" s="16" t="s">
        <v>96</v>
      </c>
    </row>
    <row r="110" ht="15.75" customHeight="1">
      <c r="A110" s="3" t="s">
        <v>721</v>
      </c>
      <c r="B110" s="3">
        <v>1.0</v>
      </c>
      <c r="C110" s="3" t="s">
        <v>1072</v>
      </c>
      <c r="D110" s="16" t="s">
        <v>96</v>
      </c>
    </row>
    <row r="111" ht="15.75" customHeight="1">
      <c r="A111" s="3" t="s">
        <v>726</v>
      </c>
      <c r="B111" s="3">
        <v>2.0</v>
      </c>
      <c r="C111" s="3" t="s">
        <v>1082</v>
      </c>
      <c r="D111" s="16" t="s">
        <v>96</v>
      </c>
    </row>
    <row r="112" ht="15.75" customHeight="1">
      <c r="A112" s="3" t="s">
        <v>748</v>
      </c>
      <c r="B112" s="3">
        <v>1.0</v>
      </c>
      <c r="C112" s="3" t="s">
        <v>1083</v>
      </c>
      <c r="D112" s="16" t="s">
        <v>96</v>
      </c>
    </row>
    <row r="113" ht="15.75" customHeight="1">
      <c r="A113" s="3" t="s">
        <v>755</v>
      </c>
      <c r="B113" s="3">
        <v>2.0</v>
      </c>
      <c r="C113" s="3" t="s">
        <v>1092</v>
      </c>
      <c r="D113" s="16" t="s">
        <v>96</v>
      </c>
    </row>
    <row r="114" ht="15.75" customHeight="1">
      <c r="A114" s="3" t="s">
        <v>764</v>
      </c>
      <c r="B114" s="3">
        <v>1.0</v>
      </c>
      <c r="C114" s="3" t="s">
        <v>1097</v>
      </c>
      <c r="D114" s="16" t="s">
        <v>96</v>
      </c>
    </row>
    <row r="115" ht="15.75" customHeight="1">
      <c r="A115" s="3" t="s">
        <v>769</v>
      </c>
      <c r="B115" s="3">
        <v>1.0</v>
      </c>
      <c r="C115" s="3" t="s">
        <v>1103</v>
      </c>
      <c r="D115" s="16" t="s">
        <v>96</v>
      </c>
    </row>
    <row r="116" ht="15.75" customHeight="1">
      <c r="A116" s="3" t="s">
        <v>781</v>
      </c>
      <c r="B116" s="3">
        <v>1.0</v>
      </c>
      <c r="C116" s="3" t="s">
        <v>1110</v>
      </c>
      <c r="D116" s="16" t="s">
        <v>96</v>
      </c>
    </row>
    <row r="117" ht="15.75" customHeight="1">
      <c r="A117" s="3" t="s">
        <v>799</v>
      </c>
      <c r="B117" s="3">
        <v>1.0</v>
      </c>
      <c r="C117" s="3" t="s">
        <v>1112</v>
      </c>
      <c r="D117" s="16" t="s">
        <v>96</v>
      </c>
    </row>
    <row r="118" ht="15.75" customHeight="1">
      <c r="A118" s="3" t="s">
        <v>808</v>
      </c>
      <c r="B118" s="3">
        <v>1.0</v>
      </c>
      <c r="C118" s="3" t="s">
        <v>1122</v>
      </c>
      <c r="D118" s="16" t="s">
        <v>96</v>
      </c>
    </row>
    <row r="119" ht="15.75" customHeight="1">
      <c r="A119" s="3" t="s">
        <v>823</v>
      </c>
      <c r="B119" s="3">
        <v>1.0</v>
      </c>
      <c r="C119" s="3" t="s">
        <v>1123</v>
      </c>
      <c r="D119" s="16" t="s">
        <v>96</v>
      </c>
    </row>
    <row r="120" ht="15.75" customHeight="1">
      <c r="A120" s="3" t="s">
        <v>829</v>
      </c>
      <c r="B120" s="3">
        <v>1.0</v>
      </c>
      <c r="C120" s="3" t="s">
        <v>1136</v>
      </c>
      <c r="D120" s="16" t="s">
        <v>96</v>
      </c>
    </row>
    <row r="121" ht="15.75" customHeight="1">
      <c r="A121" s="3" t="s">
        <v>838</v>
      </c>
      <c r="B121" s="3">
        <v>1.0</v>
      </c>
      <c r="C121" s="3" t="s">
        <v>1137</v>
      </c>
      <c r="D121" s="16" t="s">
        <v>96</v>
      </c>
    </row>
    <row r="122" ht="15.75" customHeight="1">
      <c r="A122" s="3" t="s">
        <v>843</v>
      </c>
      <c r="B122" s="3">
        <v>1.0</v>
      </c>
      <c r="C122" s="3" t="s">
        <v>1146</v>
      </c>
      <c r="D122" s="16" t="s">
        <v>96</v>
      </c>
    </row>
    <row r="123" ht="15.75" customHeight="1">
      <c r="A123" s="3" t="s">
        <v>853</v>
      </c>
      <c r="B123" s="3">
        <v>1.0</v>
      </c>
      <c r="C123" s="3" t="s">
        <v>1150</v>
      </c>
      <c r="D123" s="16" t="s">
        <v>96</v>
      </c>
    </row>
    <row r="124" ht="15.75" customHeight="1">
      <c r="A124" s="3" t="s">
        <v>861</v>
      </c>
      <c r="B124" s="3">
        <v>1.0</v>
      </c>
      <c r="C124" s="3" t="s">
        <v>1152</v>
      </c>
      <c r="D124" s="16" t="s">
        <v>96</v>
      </c>
    </row>
    <row r="125" ht="15.75" customHeight="1">
      <c r="A125" s="3" t="s">
        <v>871</v>
      </c>
      <c r="B125" s="3">
        <v>1.0</v>
      </c>
      <c r="C125" s="3" t="s">
        <v>1160</v>
      </c>
      <c r="D125" s="16" t="s">
        <v>96</v>
      </c>
    </row>
    <row r="126" ht="15.75" customHeight="1">
      <c r="A126" s="3" t="s">
        <v>877</v>
      </c>
      <c r="B126" s="3">
        <v>1.0</v>
      </c>
      <c r="C126" s="3" t="s">
        <v>1164</v>
      </c>
      <c r="D126" s="16" t="s">
        <v>96</v>
      </c>
    </row>
    <row r="127" ht="15.75" customHeight="1">
      <c r="A127" s="3" t="s">
        <v>883</v>
      </c>
      <c r="B127" s="3">
        <v>1.0</v>
      </c>
      <c r="C127" s="3" t="s">
        <v>1170</v>
      </c>
      <c r="D127" s="16" t="s">
        <v>96</v>
      </c>
    </row>
    <row r="128" ht="15.75" customHeight="1">
      <c r="A128" s="3" t="s">
        <v>897</v>
      </c>
      <c r="B128" s="3">
        <v>1.0</v>
      </c>
      <c r="C128" s="3" t="s">
        <v>1178</v>
      </c>
      <c r="D128" s="16" t="s">
        <v>96</v>
      </c>
    </row>
    <row r="129" ht="15.75" customHeight="1">
      <c r="A129" s="3" t="s">
        <v>901</v>
      </c>
      <c r="B129" s="3">
        <v>1.0</v>
      </c>
      <c r="C129" s="3" t="s">
        <v>1182</v>
      </c>
      <c r="D129" s="16" t="s">
        <v>96</v>
      </c>
    </row>
    <row r="130" ht="15.75" customHeight="1">
      <c r="A130" s="3" t="s">
        <v>916</v>
      </c>
      <c r="B130" s="3">
        <v>1.0</v>
      </c>
      <c r="C130" s="3" t="s">
        <v>1189</v>
      </c>
      <c r="D130" s="16" t="s">
        <v>96</v>
      </c>
    </row>
    <row r="131" ht="15.75" customHeight="1">
      <c r="A131" s="3" t="s">
        <v>919</v>
      </c>
      <c r="B131" s="3">
        <v>1.0</v>
      </c>
      <c r="C131" s="3" t="s">
        <v>1192</v>
      </c>
      <c r="D131" s="16" t="s">
        <v>96</v>
      </c>
    </row>
    <row r="132" ht="15.75" customHeight="1">
      <c r="A132" s="3" t="s">
        <v>939</v>
      </c>
      <c r="B132" s="3">
        <v>1.0</v>
      </c>
      <c r="C132" s="3" t="s">
        <v>1199</v>
      </c>
      <c r="D132" s="16" t="s">
        <v>96</v>
      </c>
    </row>
    <row r="133" ht="15.75" customHeight="1">
      <c r="A133" s="3" t="s">
        <v>1201</v>
      </c>
      <c r="B133" s="3">
        <v>0.0</v>
      </c>
      <c r="C133" s="3" t="s">
        <v>1202</v>
      </c>
      <c r="D133" s="16" t="s">
        <v>96</v>
      </c>
    </row>
    <row r="134" ht="15.75" customHeight="1">
      <c r="A134" s="3" t="s">
        <v>948</v>
      </c>
      <c r="B134" s="3">
        <v>1.0</v>
      </c>
      <c r="C134" s="3" t="s">
        <v>1208</v>
      </c>
      <c r="D134" s="16" t="s">
        <v>96</v>
      </c>
    </row>
    <row r="135" ht="15.75" customHeight="1">
      <c r="A135" s="3" t="s">
        <v>960</v>
      </c>
      <c r="B135" s="3">
        <v>1.0</v>
      </c>
      <c r="C135" s="3" t="s">
        <v>1214</v>
      </c>
      <c r="D135" s="16" t="s">
        <v>96</v>
      </c>
    </row>
    <row r="136" ht="15.75" customHeight="1">
      <c r="A136" s="3" t="s">
        <v>970</v>
      </c>
      <c r="B136" s="3">
        <v>1.0</v>
      </c>
      <c r="C136" s="3" t="s">
        <v>1215</v>
      </c>
      <c r="D136" s="16" t="s">
        <v>96</v>
      </c>
    </row>
    <row r="137" ht="15.75" customHeight="1">
      <c r="A137" s="3" t="s">
        <v>1224</v>
      </c>
      <c r="B137" s="3">
        <v>0.0</v>
      </c>
      <c r="C137" s="3" t="s">
        <v>1226</v>
      </c>
      <c r="D137" s="16" t="s">
        <v>96</v>
      </c>
    </row>
    <row r="138" ht="15.75" customHeight="1">
      <c r="A138" s="3" t="s">
        <v>990</v>
      </c>
      <c r="B138" s="3">
        <v>1.0</v>
      </c>
      <c r="C138" s="3" t="s">
        <v>1232</v>
      </c>
      <c r="D138" s="16" t="s">
        <v>96</v>
      </c>
    </row>
    <row r="139" ht="15.75" customHeight="1">
      <c r="A139" s="3" t="s">
        <v>1002</v>
      </c>
      <c r="B139" s="3">
        <v>1.0</v>
      </c>
      <c r="C139" s="3" t="s">
        <v>1239</v>
      </c>
      <c r="D139" s="16" t="s">
        <v>96</v>
      </c>
    </row>
    <row r="140" ht="15.75" customHeight="1">
      <c r="A140" s="3" t="s">
        <v>1247</v>
      </c>
      <c r="B140" s="3">
        <v>0.0</v>
      </c>
      <c r="C140" s="3" t="s">
        <v>1248</v>
      </c>
      <c r="D140" s="16" t="s">
        <v>96</v>
      </c>
    </row>
    <row r="141" ht="15.75" customHeight="1">
      <c r="A141" s="3" t="s">
        <v>1249</v>
      </c>
      <c r="B141" s="3">
        <v>0.0</v>
      </c>
      <c r="C141" s="3" t="s">
        <v>1250</v>
      </c>
      <c r="D141" s="16" t="s">
        <v>96</v>
      </c>
    </row>
    <row r="142" ht="15.75" customHeight="1">
      <c r="A142" s="3" t="s">
        <v>1261</v>
      </c>
      <c r="B142" s="3">
        <v>0.0</v>
      </c>
      <c r="C142" s="3" t="s">
        <v>1264</v>
      </c>
      <c r="D142" s="16" t="s">
        <v>96</v>
      </c>
    </row>
    <row r="143" ht="15.75" customHeight="1">
      <c r="A143" s="3" t="s">
        <v>1266</v>
      </c>
      <c r="B143" s="3">
        <v>0.0</v>
      </c>
      <c r="C143" s="3" t="s">
        <v>1267</v>
      </c>
      <c r="D143" s="16" t="s">
        <v>96</v>
      </c>
    </row>
    <row r="144" ht="15.75" customHeight="1">
      <c r="A144" s="3" t="s">
        <v>1275</v>
      </c>
      <c r="B144" s="3">
        <v>0.0</v>
      </c>
      <c r="C144" s="3" t="s">
        <v>1276</v>
      </c>
      <c r="D144" s="16" t="s">
        <v>96</v>
      </c>
    </row>
    <row r="145" ht="15.75" customHeight="1">
      <c r="A145" s="3" t="s">
        <v>1283</v>
      </c>
      <c r="B145" s="3">
        <v>0.0</v>
      </c>
      <c r="C145" s="3" t="s">
        <v>1248</v>
      </c>
      <c r="D145" s="16" t="s">
        <v>96</v>
      </c>
    </row>
    <row r="146" ht="15.75" customHeight="1">
      <c r="A146" s="3" t="s">
        <v>1023</v>
      </c>
      <c r="B146" s="3">
        <v>1.0</v>
      </c>
      <c r="C146" s="3" t="s">
        <v>1284</v>
      </c>
      <c r="D146" s="16" t="s">
        <v>96</v>
      </c>
    </row>
    <row r="147" ht="15.75" customHeight="1">
      <c r="A147" s="3" t="s">
        <v>1292</v>
      </c>
      <c r="B147" s="3">
        <v>0.0</v>
      </c>
      <c r="C147" s="3" t="s">
        <v>1293</v>
      </c>
      <c r="D147" s="16" t="s">
        <v>96</v>
      </c>
    </row>
    <row r="148" ht="15.75" customHeight="1">
      <c r="A148" s="3" t="s">
        <v>1299</v>
      </c>
      <c r="B148" s="3">
        <v>0.0</v>
      </c>
      <c r="C148" s="3" t="s">
        <v>1293</v>
      </c>
      <c r="D148" s="16" t="s">
        <v>96</v>
      </c>
    </row>
    <row r="149" ht="15.75" customHeight="1">
      <c r="A149" s="3" t="s">
        <v>1300</v>
      </c>
      <c r="B149" s="3">
        <v>0.0</v>
      </c>
      <c r="C149" s="3" t="s">
        <v>1293</v>
      </c>
      <c r="D149" s="16" t="s">
        <v>96</v>
      </c>
    </row>
    <row r="150" ht="15.75" customHeight="1">
      <c r="A150" s="3" t="s">
        <v>1311</v>
      </c>
      <c r="B150" s="3">
        <v>0.0</v>
      </c>
      <c r="C150" s="3" t="s">
        <v>1293</v>
      </c>
      <c r="D150" s="16" t="s">
        <v>96</v>
      </c>
    </row>
    <row r="151" ht="15.75" customHeight="1">
      <c r="A151" s="3" t="s">
        <v>1313</v>
      </c>
      <c r="B151" s="3">
        <v>0.0</v>
      </c>
      <c r="C151" s="3" t="s">
        <v>1293</v>
      </c>
      <c r="D151" s="16" t="s">
        <v>96</v>
      </c>
    </row>
    <row r="152" ht="15.75" customHeight="1">
      <c r="A152" s="3" t="s">
        <v>1318</v>
      </c>
      <c r="B152" s="3">
        <v>0.0</v>
      </c>
      <c r="C152" s="3" t="s">
        <v>1293</v>
      </c>
      <c r="D152" s="16" t="s">
        <v>96</v>
      </c>
    </row>
    <row r="153" ht="15.75" customHeight="1">
      <c r="A153" s="3" t="s">
        <v>1325</v>
      </c>
      <c r="B153" s="3">
        <v>0.0</v>
      </c>
      <c r="C153" s="3" t="s">
        <v>1293</v>
      </c>
      <c r="D153" s="16" t="s">
        <v>96</v>
      </c>
    </row>
    <row r="154" ht="15.75" customHeight="1">
      <c r="A154" s="3" t="s">
        <v>1329</v>
      </c>
      <c r="B154" s="3">
        <v>0.0</v>
      </c>
      <c r="C154" s="3" t="s">
        <v>1293</v>
      </c>
      <c r="D154" s="16" t="s">
        <v>96</v>
      </c>
    </row>
    <row r="155" ht="15.75" customHeight="1">
      <c r="A155" s="3" t="s">
        <v>1338</v>
      </c>
      <c r="B155" s="3">
        <v>0.0</v>
      </c>
      <c r="C155" s="3" t="s">
        <v>1293</v>
      </c>
      <c r="D155" s="16" t="s">
        <v>96</v>
      </c>
    </row>
    <row r="156" ht="15.75" customHeight="1">
      <c r="A156" s="3" t="s">
        <v>1340</v>
      </c>
      <c r="B156" s="3">
        <v>0.0</v>
      </c>
      <c r="C156" s="3" t="s">
        <v>1293</v>
      </c>
      <c r="D156" s="16" t="s">
        <v>96</v>
      </c>
    </row>
    <row r="157" ht="15.75" customHeight="1">
      <c r="A157" s="3" t="s">
        <v>1347</v>
      </c>
      <c r="B157" s="3">
        <v>0.0</v>
      </c>
      <c r="C157" s="3" t="s">
        <v>1293</v>
      </c>
      <c r="D157" s="16" t="s">
        <v>96</v>
      </c>
    </row>
    <row r="158" ht="15.75" customHeight="1">
      <c r="A158" s="3" t="s">
        <v>1354</v>
      </c>
      <c r="B158" s="3">
        <v>0.0</v>
      </c>
      <c r="C158" s="3" t="s">
        <v>1293</v>
      </c>
      <c r="D158" s="16" t="s">
        <v>96</v>
      </c>
    </row>
    <row r="159" ht="15.75" customHeight="1">
      <c r="A159" s="3" t="s">
        <v>1361</v>
      </c>
      <c r="B159" s="3">
        <v>0.0</v>
      </c>
      <c r="C159" s="3" t="s">
        <v>1293</v>
      </c>
      <c r="D159" s="16" t="s">
        <v>96</v>
      </c>
    </row>
    <row r="160" ht="15.75" customHeight="1">
      <c r="A160" s="3" t="s">
        <v>1366</v>
      </c>
      <c r="B160" s="3">
        <v>0.0</v>
      </c>
      <c r="C160" s="3" t="s">
        <v>1293</v>
      </c>
      <c r="D160" s="16" t="s">
        <v>96</v>
      </c>
    </row>
    <row r="161" ht="15.75" customHeight="1">
      <c r="A161" s="3" t="s">
        <v>1372</v>
      </c>
      <c r="B161" s="3">
        <v>0.0</v>
      </c>
      <c r="C161" s="3" t="s">
        <v>1293</v>
      </c>
      <c r="D161" s="16" t="s">
        <v>96</v>
      </c>
    </row>
    <row r="162" ht="15.75" customHeight="1">
      <c r="A162" s="3" t="s">
        <v>1392</v>
      </c>
      <c r="B162" s="3">
        <v>0.0</v>
      </c>
      <c r="C162" s="3" t="s">
        <v>1293</v>
      </c>
      <c r="D162" s="16" t="s">
        <v>96</v>
      </c>
    </row>
    <row r="163" ht="15.75" customHeight="1">
      <c r="A163" s="3" t="s">
        <v>1393</v>
      </c>
      <c r="B163" s="3">
        <v>0.0</v>
      </c>
      <c r="C163" s="3" t="s">
        <v>1293</v>
      </c>
      <c r="D163" s="16" t="s">
        <v>96</v>
      </c>
    </row>
    <row r="164" ht="15.75" customHeight="1">
      <c r="A164" s="3" t="s">
        <v>1399</v>
      </c>
      <c r="B164" s="3">
        <v>0.0</v>
      </c>
      <c r="C164" s="3" t="s">
        <v>1293</v>
      </c>
      <c r="D164" s="16" t="s">
        <v>96</v>
      </c>
    </row>
    <row r="165" ht="15.75" customHeight="1">
      <c r="A165" s="3" t="s">
        <v>954</v>
      </c>
      <c r="B165" s="3">
        <v>1.0</v>
      </c>
      <c r="C165" s="3" t="s">
        <v>1405</v>
      </c>
      <c r="D165" s="16" t="s">
        <v>96</v>
      </c>
    </row>
    <row r="166" ht="15.75" customHeight="1">
      <c r="A166" s="3" t="s">
        <v>1406</v>
      </c>
      <c r="B166" s="3">
        <v>0.0</v>
      </c>
      <c r="C166" s="3" t="s">
        <v>1293</v>
      </c>
      <c r="D166" s="16" t="s">
        <v>96</v>
      </c>
    </row>
    <row r="167" ht="15.75" customHeight="1">
      <c r="A167" s="3" t="s">
        <v>1414</v>
      </c>
      <c r="B167" s="3">
        <v>0.0</v>
      </c>
      <c r="C167" s="3" t="s">
        <v>1293</v>
      </c>
      <c r="D167" s="16" t="s">
        <v>96</v>
      </c>
    </row>
    <row r="168" ht="15.75" customHeight="1">
      <c r="A168" s="3" t="s">
        <v>1417</v>
      </c>
      <c r="B168" s="3">
        <v>0.0</v>
      </c>
      <c r="C168" s="3" t="s">
        <v>1293</v>
      </c>
      <c r="D168" s="16" t="s">
        <v>96</v>
      </c>
    </row>
    <row r="169" ht="15.75" customHeight="1">
      <c r="A169" s="3" t="s">
        <v>1422</v>
      </c>
      <c r="B169" s="3">
        <v>0.0</v>
      </c>
      <c r="C169" s="3" t="s">
        <v>1293</v>
      </c>
      <c r="D169" s="16" t="s">
        <v>96</v>
      </c>
    </row>
    <row r="170" ht="15.75" customHeight="1">
      <c r="A170" s="3" t="s">
        <v>1428</v>
      </c>
      <c r="B170" s="3">
        <v>0.0</v>
      </c>
      <c r="C170" s="3" t="s">
        <v>1293</v>
      </c>
      <c r="D170" s="16" t="s">
        <v>96</v>
      </c>
    </row>
    <row r="171" ht="15.75" customHeight="1">
      <c r="A171" s="3" t="s">
        <v>1429</v>
      </c>
      <c r="B171" s="3">
        <v>0.0</v>
      </c>
      <c r="C171" s="3" t="s">
        <v>1293</v>
      </c>
      <c r="D171" s="16" t="s">
        <v>96</v>
      </c>
    </row>
    <row r="172" ht="15.75" customHeight="1">
      <c r="A172" s="3" t="s">
        <v>1442</v>
      </c>
      <c r="B172" s="3">
        <v>0.0</v>
      </c>
      <c r="C172" s="3" t="s">
        <v>1293</v>
      </c>
      <c r="D172" s="16" t="s">
        <v>96</v>
      </c>
    </row>
    <row r="173" ht="15.75" customHeight="1">
      <c r="A173" s="3" t="s">
        <v>1443</v>
      </c>
      <c r="B173" s="3">
        <v>0.0</v>
      </c>
      <c r="C173" s="3" t="s">
        <v>1293</v>
      </c>
      <c r="D173" s="16" t="s">
        <v>96</v>
      </c>
    </row>
    <row r="174" ht="15.75" customHeight="1">
      <c r="A174" s="3" t="s">
        <v>1449</v>
      </c>
      <c r="B174" s="3">
        <v>0.0</v>
      </c>
      <c r="C174" s="3" t="s">
        <v>1293</v>
      </c>
      <c r="D174" s="16" t="s">
        <v>96</v>
      </c>
    </row>
    <row r="175" ht="15.75" customHeight="1">
      <c r="A175" s="3" t="s">
        <v>1457</v>
      </c>
      <c r="B175" s="3">
        <v>0.0</v>
      </c>
      <c r="C175" s="3" t="s">
        <v>1293</v>
      </c>
      <c r="D175" s="16" t="s">
        <v>96</v>
      </c>
    </row>
    <row r="176" ht="15.75" customHeight="1">
      <c r="A176" s="3" t="s">
        <v>1459</v>
      </c>
      <c r="B176" s="3">
        <v>0.0</v>
      </c>
      <c r="C176" s="3" t="s">
        <v>1293</v>
      </c>
      <c r="D176" s="16" t="s">
        <v>96</v>
      </c>
    </row>
    <row r="177" ht="15.75" customHeight="1">
      <c r="A177" s="3" t="s">
        <v>1466</v>
      </c>
      <c r="B177" s="3">
        <v>0.0</v>
      </c>
      <c r="C177" s="3" t="s">
        <v>1293</v>
      </c>
      <c r="D177" s="16" t="s">
        <v>96</v>
      </c>
    </row>
    <row r="178" ht="15.75" customHeight="1">
      <c r="A178" s="3" t="s">
        <v>1471</v>
      </c>
      <c r="B178" s="3">
        <v>0.0</v>
      </c>
      <c r="C178" s="3" t="s">
        <v>1293</v>
      </c>
      <c r="D178" s="16" t="s">
        <v>96</v>
      </c>
    </row>
    <row r="179" ht="15.75" customHeight="1">
      <c r="A179" s="3" t="s">
        <v>1474</v>
      </c>
      <c r="B179" s="3">
        <v>0.0</v>
      </c>
      <c r="C179" s="3" t="s">
        <v>1293</v>
      </c>
      <c r="D179" s="16" t="s">
        <v>96</v>
      </c>
    </row>
    <row r="180" ht="15.75" customHeight="1">
      <c r="A180" s="3" t="s">
        <v>1483</v>
      </c>
      <c r="B180" s="3">
        <v>0.0</v>
      </c>
      <c r="C180" s="3" t="s">
        <v>1293</v>
      </c>
      <c r="D180" s="16" t="s">
        <v>96</v>
      </c>
    </row>
    <row r="181" ht="15.75" customHeight="1">
      <c r="A181" s="3" t="s">
        <v>1484</v>
      </c>
      <c r="B181" s="3">
        <v>0.0</v>
      </c>
      <c r="C181" s="3" t="s">
        <v>1293</v>
      </c>
      <c r="D181" s="16" t="s">
        <v>96</v>
      </c>
    </row>
    <row r="182" ht="15.75" customHeight="1">
      <c r="A182" s="3" t="s">
        <v>1491</v>
      </c>
      <c r="B182" s="3">
        <v>0.0</v>
      </c>
      <c r="C182" s="3" t="s">
        <v>1293</v>
      </c>
      <c r="D182" s="16" t="s">
        <v>96</v>
      </c>
    </row>
    <row r="183" ht="15.75" customHeight="1">
      <c r="A183" s="3" t="s">
        <v>1497</v>
      </c>
      <c r="B183" s="3">
        <v>0.0</v>
      </c>
      <c r="C183" s="3" t="s">
        <v>1293</v>
      </c>
      <c r="D183" s="16" t="s">
        <v>96</v>
      </c>
    </row>
    <row r="184" ht="15.75" customHeight="1">
      <c r="A184" s="3" t="s">
        <v>1501</v>
      </c>
      <c r="B184" s="3">
        <v>0.0</v>
      </c>
      <c r="C184" s="3" t="s">
        <v>1293</v>
      </c>
      <c r="D184" s="16" t="s">
        <v>96</v>
      </c>
    </row>
    <row r="185" ht="15.75" customHeight="1">
      <c r="A185" s="3" t="s">
        <v>1511</v>
      </c>
      <c r="B185" s="3">
        <v>0.0</v>
      </c>
      <c r="C185" s="3" t="s">
        <v>1293</v>
      </c>
      <c r="D185" s="16" t="s">
        <v>96</v>
      </c>
    </row>
    <row r="186" ht="15.75" customHeight="1">
      <c r="A186" s="3" t="s">
        <v>1512</v>
      </c>
      <c r="B186" s="3">
        <v>0.0</v>
      </c>
      <c r="C186" s="3" t="s">
        <v>1293</v>
      </c>
      <c r="D186" s="16" t="s">
        <v>96</v>
      </c>
    </row>
    <row r="187" ht="15.75" customHeight="1">
      <c r="A187" s="3" t="s">
        <v>1521</v>
      </c>
      <c r="B187" s="3">
        <v>0.0</v>
      </c>
      <c r="C187" s="3" t="s">
        <v>1293</v>
      </c>
      <c r="D187" s="16" t="s">
        <v>96</v>
      </c>
    </row>
    <row r="188" ht="15.75" customHeight="1">
      <c r="A188" s="3" t="s">
        <v>1529</v>
      </c>
      <c r="B188" s="3">
        <v>0.0</v>
      </c>
      <c r="C188" s="3" t="s">
        <v>1293</v>
      </c>
      <c r="D188" s="16" t="s">
        <v>96</v>
      </c>
    </row>
    <row r="189" ht="15.75" customHeight="1">
      <c r="A189" s="3" t="s">
        <v>1530</v>
      </c>
      <c r="B189" s="3">
        <v>0.0</v>
      </c>
      <c r="C189" s="3" t="s">
        <v>1293</v>
      </c>
      <c r="D189" s="16" t="s">
        <v>96</v>
      </c>
    </row>
    <row r="190" ht="15.75" customHeight="1">
      <c r="A190" s="3" t="s">
        <v>1537</v>
      </c>
      <c r="B190" s="3">
        <v>0.0</v>
      </c>
      <c r="C190" s="3" t="s">
        <v>1293</v>
      </c>
      <c r="D190" s="16" t="s">
        <v>96</v>
      </c>
    </row>
    <row r="191" ht="15.75" customHeight="1">
      <c r="A191" s="3" t="s">
        <v>1544</v>
      </c>
      <c r="B191" s="3">
        <v>0.0</v>
      </c>
      <c r="C191" s="3" t="s">
        <v>1293</v>
      </c>
      <c r="D191" s="16" t="s">
        <v>96</v>
      </c>
    </row>
    <row r="192" ht="15.75" customHeight="1">
      <c r="A192" s="3" t="s">
        <v>1553</v>
      </c>
      <c r="B192" s="3">
        <v>0.0</v>
      </c>
      <c r="C192" s="3" t="s">
        <v>1293</v>
      </c>
      <c r="D192" s="16" t="s">
        <v>96</v>
      </c>
    </row>
    <row r="193" ht="15.75" customHeight="1">
      <c r="A193" s="3" t="s">
        <v>1558</v>
      </c>
      <c r="B193" s="3">
        <v>0.0</v>
      </c>
      <c r="C193" s="3" t="s">
        <v>1293</v>
      </c>
      <c r="D193" s="16" t="s">
        <v>96</v>
      </c>
    </row>
    <row r="194" ht="15.75" customHeight="1">
      <c r="A194" s="3" t="s">
        <v>1570</v>
      </c>
      <c r="B194" s="3">
        <v>0.0</v>
      </c>
      <c r="C194" s="3" t="s">
        <v>1293</v>
      </c>
      <c r="D194" s="16" t="s">
        <v>96</v>
      </c>
    </row>
    <row r="195" ht="15.75" customHeight="1">
      <c r="A195" s="3" t="s">
        <v>1580</v>
      </c>
      <c r="B195" s="3">
        <v>0.0</v>
      </c>
      <c r="C195" s="3" t="s">
        <v>1293</v>
      </c>
      <c r="D195" s="16" t="s">
        <v>96</v>
      </c>
    </row>
    <row r="196" ht="15.75" customHeight="1">
      <c r="A196" s="3" t="s">
        <v>1587</v>
      </c>
      <c r="B196" s="3">
        <v>0.0</v>
      </c>
      <c r="C196" s="3" t="s">
        <v>1293</v>
      </c>
      <c r="D196" s="16" t="s">
        <v>96</v>
      </c>
    </row>
    <row r="197" ht="15.75" customHeight="1">
      <c r="A197" s="3" t="s">
        <v>1600</v>
      </c>
      <c r="B197" s="3">
        <v>0.0</v>
      </c>
      <c r="C197" s="3" t="s">
        <v>1293</v>
      </c>
      <c r="D197" s="16" t="s">
        <v>96</v>
      </c>
    </row>
    <row r="198" ht="15.75" customHeight="1">
      <c r="A198" s="3" t="s">
        <v>1602</v>
      </c>
      <c r="B198" s="3">
        <v>0.0</v>
      </c>
      <c r="C198" s="3" t="s">
        <v>1293</v>
      </c>
      <c r="D198" s="16" t="s">
        <v>96</v>
      </c>
    </row>
    <row r="199" ht="15.75" customHeight="1">
      <c r="A199" s="3" t="s">
        <v>1613</v>
      </c>
      <c r="B199" s="3">
        <v>0.0</v>
      </c>
      <c r="C199" s="3" t="s">
        <v>1293</v>
      </c>
      <c r="D199" s="16" t="s">
        <v>96</v>
      </c>
    </row>
    <row r="200" ht="15.75" customHeight="1">
      <c r="A200" s="3" t="s">
        <v>1621</v>
      </c>
      <c r="B200" s="3">
        <v>0.0</v>
      </c>
      <c r="C200" s="3" t="s">
        <v>1293</v>
      </c>
      <c r="D200" s="16" t="s">
        <v>96</v>
      </c>
    </row>
    <row r="201" ht="15.75" customHeight="1">
      <c r="A201" s="3" t="s">
        <v>1628</v>
      </c>
      <c r="B201" s="3">
        <v>0.0</v>
      </c>
      <c r="C201" s="3" t="s">
        <v>1293</v>
      </c>
      <c r="D201" s="16" t="s">
        <v>96</v>
      </c>
    </row>
    <row r="202" ht="15.75" customHeight="1">
      <c r="A202" s="3" t="s">
        <v>1643</v>
      </c>
      <c r="B202" s="3">
        <v>0.0</v>
      </c>
      <c r="C202" s="3" t="s">
        <v>1293</v>
      </c>
      <c r="D202" s="16" t="s">
        <v>96</v>
      </c>
    </row>
    <row r="203" ht="15.75" customHeight="1">
      <c r="A203" s="3" t="s">
        <v>1644</v>
      </c>
      <c r="B203" s="3">
        <v>0.0</v>
      </c>
      <c r="C203" s="3" t="s">
        <v>1293</v>
      </c>
      <c r="D203" s="16" t="s">
        <v>96</v>
      </c>
    </row>
    <row r="204" ht="15.75" customHeight="1">
      <c r="A204" s="3" t="s">
        <v>1655</v>
      </c>
      <c r="B204" s="3">
        <v>0.0</v>
      </c>
      <c r="C204" s="3" t="s">
        <v>1293</v>
      </c>
      <c r="D204" s="16" t="s">
        <v>96</v>
      </c>
    </row>
    <row r="205" ht="15.75" customHeight="1">
      <c r="A205" s="3" t="s">
        <v>674</v>
      </c>
      <c r="B205" s="3">
        <v>1.0</v>
      </c>
      <c r="C205" s="3" t="s">
        <v>1664</v>
      </c>
      <c r="D205" s="16" t="s">
        <v>96</v>
      </c>
    </row>
    <row r="206" ht="15.75" customHeight="1">
      <c r="A206" s="3" t="s">
        <v>1672</v>
      </c>
      <c r="B206" s="3">
        <v>0.0</v>
      </c>
      <c r="C206" s="3" t="s">
        <v>1293</v>
      </c>
      <c r="D206" s="16" t="s">
        <v>96</v>
      </c>
    </row>
    <row r="207" ht="15.75" customHeight="1">
      <c r="A207" s="3" t="s">
        <v>1682</v>
      </c>
      <c r="B207" s="3">
        <v>0.0</v>
      </c>
      <c r="C207" s="3" t="s">
        <v>1293</v>
      </c>
      <c r="D207" s="16" t="s">
        <v>96</v>
      </c>
    </row>
    <row r="208" ht="15.75" customHeight="1">
      <c r="A208" s="3" t="s">
        <v>1689</v>
      </c>
      <c r="B208" s="3">
        <v>0.0</v>
      </c>
      <c r="C208" s="3" t="s">
        <v>1293</v>
      </c>
      <c r="D208" s="16" t="s">
        <v>96</v>
      </c>
    </row>
    <row r="209" ht="15.75" customHeight="1">
      <c r="A209" s="3" t="s">
        <v>1705</v>
      </c>
      <c r="B209" s="3">
        <v>0.0</v>
      </c>
      <c r="C209" s="3" t="s">
        <v>1293</v>
      </c>
      <c r="D209" s="16" t="s">
        <v>96</v>
      </c>
    </row>
    <row r="210" ht="15.75" customHeight="1">
      <c r="A210" s="3" t="s">
        <v>1707</v>
      </c>
      <c r="B210" s="3">
        <v>0.0</v>
      </c>
      <c r="C210" s="3" t="s">
        <v>1293</v>
      </c>
      <c r="D210" s="16" t="s">
        <v>96</v>
      </c>
    </row>
    <row r="211" ht="15.75" customHeight="1">
      <c r="A211" s="3" t="s">
        <v>1720</v>
      </c>
      <c r="B211" s="3">
        <v>0.0</v>
      </c>
      <c r="C211" s="3" t="s">
        <v>1293</v>
      </c>
      <c r="D211" s="16" t="s">
        <v>96</v>
      </c>
    </row>
    <row r="212" ht="15.75" customHeight="1">
      <c r="A212" s="3" t="s">
        <v>1722</v>
      </c>
      <c r="B212" s="3">
        <v>0.0</v>
      </c>
      <c r="C212" s="3" t="s">
        <v>1293</v>
      </c>
      <c r="D212" s="16" t="s">
        <v>96</v>
      </c>
    </row>
    <row r="213" ht="15.75" customHeight="1">
      <c r="A213" s="3" t="s">
        <v>1730</v>
      </c>
      <c r="B213" s="3">
        <v>0.0</v>
      </c>
      <c r="C213" s="3" t="s">
        <v>1293</v>
      </c>
      <c r="D213" s="16" t="s">
        <v>96</v>
      </c>
    </row>
    <row r="214" ht="15.75" customHeight="1">
      <c r="A214" s="3" t="s">
        <v>1738</v>
      </c>
      <c r="B214" s="3">
        <v>0.0</v>
      </c>
      <c r="C214" s="3" t="s">
        <v>1293</v>
      </c>
      <c r="D214" s="16" t="s">
        <v>96</v>
      </c>
    </row>
    <row r="215" ht="15.75" customHeight="1">
      <c r="A215" s="3" t="s">
        <v>1741</v>
      </c>
      <c r="B215" s="3">
        <v>0.0</v>
      </c>
      <c r="C215" s="3" t="s">
        <v>1293</v>
      </c>
      <c r="D215" s="16" t="s">
        <v>96</v>
      </c>
    </row>
    <row r="216" ht="15.75" customHeight="1">
      <c r="A216" s="3" t="s">
        <v>1754</v>
      </c>
      <c r="B216" s="3">
        <v>0.0</v>
      </c>
      <c r="C216" s="3" t="s">
        <v>1293</v>
      </c>
      <c r="D216" s="16" t="s">
        <v>96</v>
      </c>
    </row>
    <row r="217" ht="15.75" customHeight="1">
      <c r="A217" s="3" t="s">
        <v>1761</v>
      </c>
      <c r="B217" s="3">
        <v>0.0</v>
      </c>
      <c r="C217" s="3" t="s">
        <v>1293</v>
      </c>
      <c r="D217" s="16" t="s">
        <v>96</v>
      </c>
    </row>
    <row r="218" ht="15.75" customHeight="1">
      <c r="A218" s="3" t="s">
        <v>1769</v>
      </c>
      <c r="B218" s="3">
        <v>0.0</v>
      </c>
      <c r="C218" s="3" t="s">
        <v>1293</v>
      </c>
      <c r="D218" s="16" t="s">
        <v>96</v>
      </c>
    </row>
    <row r="219" ht="15.75" customHeight="1">
      <c r="A219" s="3" t="s">
        <v>1775</v>
      </c>
      <c r="B219" s="3">
        <v>0.0</v>
      </c>
      <c r="C219" s="3" t="s">
        <v>1293</v>
      </c>
      <c r="D219" s="16" t="s">
        <v>96</v>
      </c>
    </row>
    <row r="220" ht="15.75" customHeight="1">
      <c r="A220" s="3" t="s">
        <v>1781</v>
      </c>
      <c r="B220" s="3">
        <v>0.0</v>
      </c>
      <c r="C220" s="3" t="s">
        <v>1293</v>
      </c>
      <c r="D220" s="16" t="s">
        <v>96</v>
      </c>
    </row>
    <row r="221" ht="15.75" customHeight="1">
      <c r="A221" s="3" t="s">
        <v>1782</v>
      </c>
      <c r="B221" s="3">
        <v>0.0</v>
      </c>
      <c r="C221" s="3" t="s">
        <v>1293</v>
      </c>
      <c r="D221" s="16" t="s">
        <v>96</v>
      </c>
    </row>
    <row r="222" ht="15.75" customHeight="1">
      <c r="A222" s="3" t="s">
        <v>1789</v>
      </c>
      <c r="B222" s="3">
        <v>0.0</v>
      </c>
      <c r="C222" s="3" t="s">
        <v>1293</v>
      </c>
      <c r="D222" s="16" t="s">
        <v>96</v>
      </c>
    </row>
    <row r="223" ht="15.75" customHeight="1">
      <c r="A223" s="3" t="s">
        <v>1797</v>
      </c>
      <c r="B223" s="3">
        <v>0.0</v>
      </c>
      <c r="C223" s="3" t="s">
        <v>1293</v>
      </c>
      <c r="D223" s="16" t="s">
        <v>96</v>
      </c>
    </row>
    <row r="224" ht="15.75" customHeight="1">
      <c r="A224" s="3" t="s">
        <v>1799</v>
      </c>
      <c r="B224" s="3">
        <v>0.0</v>
      </c>
      <c r="C224" s="3" t="s">
        <v>1293</v>
      </c>
      <c r="D224" s="16" t="s">
        <v>96</v>
      </c>
    </row>
    <row r="225" ht="15.75" customHeight="1">
      <c r="A225" s="3" t="s">
        <v>1811</v>
      </c>
      <c r="B225" s="3">
        <v>0.0</v>
      </c>
      <c r="C225" s="3" t="s">
        <v>1293</v>
      </c>
      <c r="D225" s="16" t="s">
        <v>96</v>
      </c>
    </row>
    <row r="226" ht="15.75" customHeight="1">
      <c r="A226" s="3" t="s">
        <v>1815</v>
      </c>
      <c r="B226" s="3">
        <v>0.0</v>
      </c>
      <c r="C226" s="3" t="s">
        <v>1293</v>
      </c>
      <c r="D226" s="16" t="s">
        <v>96</v>
      </c>
    </row>
    <row r="227" ht="15.75" customHeight="1">
      <c r="A227" s="3" t="s">
        <v>1823</v>
      </c>
      <c r="B227" s="3">
        <v>0.0</v>
      </c>
      <c r="C227" s="3" t="s">
        <v>1293</v>
      </c>
      <c r="D227" s="16" t="s">
        <v>96</v>
      </c>
    </row>
    <row r="228" ht="15.75" customHeight="1">
      <c r="A228" s="3" t="s">
        <v>1830</v>
      </c>
      <c r="B228" s="3">
        <v>0.0</v>
      </c>
      <c r="C228" s="3" t="s">
        <v>1293</v>
      </c>
      <c r="D228" s="16" t="s">
        <v>96</v>
      </c>
    </row>
    <row r="229" ht="15.75" customHeight="1">
      <c r="A229" s="3" t="s">
        <v>1833</v>
      </c>
      <c r="B229" s="3">
        <v>0.0</v>
      </c>
      <c r="C229" s="3" t="s">
        <v>1293</v>
      </c>
      <c r="D229" s="16" t="s">
        <v>96</v>
      </c>
    </row>
    <row r="230" ht="15.75" customHeight="1">
      <c r="A230" s="3" t="s">
        <v>1845</v>
      </c>
      <c r="B230" s="3">
        <v>0.0</v>
      </c>
      <c r="C230" s="3" t="s">
        <v>1293</v>
      </c>
      <c r="D230" s="16" t="s">
        <v>96</v>
      </c>
    </row>
    <row r="231" ht="15.75" customHeight="1">
      <c r="A231" s="3" t="s">
        <v>1846</v>
      </c>
      <c r="B231" s="3">
        <v>0.0</v>
      </c>
      <c r="C231" s="3" t="s">
        <v>1293</v>
      </c>
      <c r="D231" s="16" t="s">
        <v>96</v>
      </c>
    </row>
    <row r="232" ht="15.75" customHeight="1">
      <c r="A232" s="3" t="s">
        <v>1854</v>
      </c>
      <c r="B232" s="3">
        <v>0.0</v>
      </c>
      <c r="C232" s="3" t="s">
        <v>1293</v>
      </c>
      <c r="D232" s="16" t="s">
        <v>96</v>
      </c>
    </row>
    <row r="233" ht="15.75" customHeight="1">
      <c r="A233" s="3" t="s">
        <v>1860</v>
      </c>
      <c r="B233" s="3">
        <v>0.0</v>
      </c>
      <c r="C233" s="3" t="s">
        <v>1293</v>
      </c>
      <c r="D233" s="16" t="s">
        <v>96</v>
      </c>
    </row>
    <row r="234" ht="15.75" customHeight="1">
      <c r="A234" s="3" t="s">
        <v>1863</v>
      </c>
      <c r="B234" s="3">
        <v>0.0</v>
      </c>
      <c r="C234" s="3" t="s">
        <v>1293</v>
      </c>
      <c r="D234" s="16" t="s">
        <v>96</v>
      </c>
    </row>
    <row r="235" ht="15.75" customHeight="1">
      <c r="A235" s="3" t="s">
        <v>1876</v>
      </c>
      <c r="B235" s="3">
        <v>0.0</v>
      </c>
      <c r="C235" s="3" t="s">
        <v>1293</v>
      </c>
      <c r="D235" s="16" t="s">
        <v>96</v>
      </c>
    </row>
    <row r="236" ht="15.75" customHeight="1">
      <c r="A236" s="3" t="s">
        <v>1879</v>
      </c>
      <c r="B236" s="3">
        <v>0.0</v>
      </c>
      <c r="C236" s="3" t="s">
        <v>1293</v>
      </c>
      <c r="D236" s="16" t="s">
        <v>96</v>
      </c>
    </row>
    <row r="237" ht="15.75" customHeight="1">
      <c r="A237" s="3" t="s">
        <v>1891</v>
      </c>
      <c r="B237" s="3">
        <v>0.0</v>
      </c>
      <c r="C237" s="3" t="s">
        <v>1293</v>
      </c>
      <c r="D237" s="16" t="s">
        <v>96</v>
      </c>
    </row>
    <row r="238" ht="15.75" customHeight="1">
      <c r="A238" s="3" t="s">
        <v>1893</v>
      </c>
      <c r="B238" s="3">
        <v>0.0</v>
      </c>
      <c r="C238" s="3" t="s">
        <v>1293</v>
      </c>
      <c r="D238" s="16" t="s">
        <v>96</v>
      </c>
    </row>
    <row r="239" ht="15.75" customHeight="1">
      <c r="A239" s="3" t="s">
        <v>1901</v>
      </c>
      <c r="B239" s="3">
        <v>0.0</v>
      </c>
      <c r="C239" s="3" t="s">
        <v>1293</v>
      </c>
      <c r="D239" s="16" t="s">
        <v>96</v>
      </c>
    </row>
    <row r="240" ht="15.75" customHeight="1">
      <c r="A240" s="3" t="s">
        <v>1909</v>
      </c>
      <c r="B240" s="3">
        <v>0.0</v>
      </c>
      <c r="C240" s="3" t="s">
        <v>1293</v>
      </c>
      <c r="D240" s="16" t="s">
        <v>96</v>
      </c>
    </row>
    <row r="241" ht="15.75" customHeight="1">
      <c r="A241" s="3" t="s">
        <v>1915</v>
      </c>
      <c r="B241" s="3">
        <v>0.0</v>
      </c>
      <c r="C241" s="3" t="s">
        <v>1293</v>
      </c>
      <c r="D241" s="16" t="s">
        <v>96</v>
      </c>
    </row>
    <row r="242" ht="15.75" customHeight="1">
      <c r="A242" s="3" t="s">
        <v>1925</v>
      </c>
      <c r="B242" s="3">
        <v>0.0</v>
      </c>
      <c r="C242" s="3" t="s">
        <v>1293</v>
      </c>
      <c r="D242" s="16" t="s">
        <v>96</v>
      </c>
    </row>
    <row r="243" ht="15.75" customHeight="1">
      <c r="A243" s="3" t="s">
        <v>1929</v>
      </c>
      <c r="B243" s="3">
        <v>0.0</v>
      </c>
      <c r="C243" s="3" t="s">
        <v>1293</v>
      </c>
      <c r="D243" s="16" t="s">
        <v>96</v>
      </c>
    </row>
    <row r="244" ht="15.75" customHeight="1">
      <c r="A244" s="3" t="s">
        <v>1938</v>
      </c>
      <c r="B244" s="3">
        <v>0.0</v>
      </c>
      <c r="C244" s="3" t="s">
        <v>1293</v>
      </c>
      <c r="D244" s="16" t="s">
        <v>96</v>
      </c>
    </row>
    <row r="245" ht="15.75" customHeight="1">
      <c r="A245" s="3" t="s">
        <v>1939</v>
      </c>
      <c r="B245" s="3">
        <v>0.0</v>
      </c>
      <c r="C245" s="3" t="s">
        <v>1293</v>
      </c>
      <c r="D245" s="16" t="s">
        <v>96</v>
      </c>
    </row>
    <row r="246" ht="15.75" customHeight="1">
      <c r="A246" s="3" t="s">
        <v>1948</v>
      </c>
      <c r="B246" s="3">
        <v>0.0</v>
      </c>
      <c r="C246" s="3" t="s">
        <v>1293</v>
      </c>
      <c r="D246" s="16" t="s">
        <v>96</v>
      </c>
    </row>
    <row r="247" ht="15.75" customHeight="1">
      <c r="A247" s="3" t="s">
        <v>1954</v>
      </c>
      <c r="B247" s="3">
        <v>0.0</v>
      </c>
      <c r="C247" s="3" t="s">
        <v>1293</v>
      </c>
      <c r="D247" s="16" t="s">
        <v>96</v>
      </c>
    </row>
    <row r="248" ht="15.75" customHeight="1">
      <c r="A248" s="3" t="s">
        <v>1958</v>
      </c>
      <c r="B248" s="3">
        <v>0.0</v>
      </c>
      <c r="C248" s="3" t="s">
        <v>1293</v>
      </c>
      <c r="D248" s="16" t="s">
        <v>96</v>
      </c>
    </row>
    <row r="249" ht="15.75" customHeight="1">
      <c r="A249" s="3" t="s">
        <v>1966</v>
      </c>
      <c r="B249" s="3">
        <v>0.0</v>
      </c>
      <c r="C249" s="3" t="s">
        <v>1293</v>
      </c>
      <c r="D249" s="16" t="s">
        <v>96</v>
      </c>
    </row>
    <row r="250" ht="15.75" customHeight="1">
      <c r="A250" s="3" t="s">
        <v>1967</v>
      </c>
      <c r="B250" s="3">
        <v>0.0</v>
      </c>
      <c r="C250" s="3" t="s">
        <v>1293</v>
      </c>
      <c r="D250" s="16" t="s">
        <v>96</v>
      </c>
    </row>
    <row r="251" ht="15.75" customHeight="1">
      <c r="A251" s="3" t="s">
        <v>1975</v>
      </c>
      <c r="B251" s="3">
        <v>0.0</v>
      </c>
      <c r="C251" s="3" t="s">
        <v>1293</v>
      </c>
      <c r="D251" s="16" t="s">
        <v>96</v>
      </c>
    </row>
    <row r="252" ht="15.75" customHeight="1">
      <c r="A252" s="3" t="s">
        <v>1982</v>
      </c>
      <c r="B252" s="3">
        <v>0.0</v>
      </c>
      <c r="C252" s="3" t="s">
        <v>1293</v>
      </c>
      <c r="D252" s="16" t="s">
        <v>96</v>
      </c>
    </row>
    <row r="253" ht="15.75" customHeight="1">
      <c r="A253" s="3" t="s">
        <v>1991</v>
      </c>
      <c r="B253" s="3">
        <v>0.0</v>
      </c>
      <c r="C253" s="3" t="s">
        <v>1293</v>
      </c>
      <c r="D253" s="16" t="s">
        <v>96</v>
      </c>
    </row>
    <row r="254" ht="15.75" customHeight="1">
      <c r="A254" s="3" t="s">
        <v>1999</v>
      </c>
      <c r="B254" s="3">
        <v>0.0</v>
      </c>
      <c r="C254" s="3" t="s">
        <v>1293</v>
      </c>
      <c r="D254" s="16" t="s">
        <v>96</v>
      </c>
    </row>
    <row r="255" ht="15.75" customHeight="1">
      <c r="A255" s="3" t="s">
        <v>2006</v>
      </c>
      <c r="B255" s="3">
        <v>0.0</v>
      </c>
      <c r="C255" s="3" t="s">
        <v>1293</v>
      </c>
      <c r="D255" s="16" t="s">
        <v>96</v>
      </c>
    </row>
    <row r="256" ht="15.75" customHeight="1">
      <c r="A256" s="3" t="s">
        <v>2012</v>
      </c>
      <c r="B256" s="3">
        <v>0.0</v>
      </c>
      <c r="C256" s="3" t="s">
        <v>1293</v>
      </c>
      <c r="D256" s="16" t="s">
        <v>96</v>
      </c>
    </row>
    <row r="257" ht="15.75" customHeight="1">
      <c r="A257" s="3" t="s">
        <v>2015</v>
      </c>
      <c r="B257" s="3">
        <v>0.0</v>
      </c>
      <c r="C257" s="3" t="s">
        <v>1293</v>
      </c>
      <c r="D257" s="16" t="s">
        <v>96</v>
      </c>
    </row>
    <row r="258" ht="15.75" customHeight="1">
      <c r="A258" s="3" t="s">
        <v>2026</v>
      </c>
      <c r="B258" s="3">
        <v>0.0</v>
      </c>
      <c r="C258" s="3" t="s">
        <v>1293</v>
      </c>
      <c r="D258" s="16" t="s">
        <v>96</v>
      </c>
    </row>
    <row r="259" ht="15.75" customHeight="1">
      <c r="A259" s="3" t="s">
        <v>2027</v>
      </c>
      <c r="B259" s="3">
        <v>0.0</v>
      </c>
      <c r="C259" s="3" t="s">
        <v>1293</v>
      </c>
      <c r="D259" s="16" t="s">
        <v>96</v>
      </c>
    </row>
    <row r="260" ht="15.75" customHeight="1">
      <c r="A260" s="3" t="s">
        <v>2036</v>
      </c>
      <c r="B260" s="3">
        <v>0.0</v>
      </c>
      <c r="C260" s="3" t="s">
        <v>1293</v>
      </c>
      <c r="D260" s="16" t="s">
        <v>96</v>
      </c>
    </row>
    <row r="261" ht="15.75" customHeight="1">
      <c r="A261" s="3" t="s">
        <v>2043</v>
      </c>
      <c r="B261" s="3">
        <v>0.0</v>
      </c>
      <c r="C261" s="3" t="s">
        <v>1293</v>
      </c>
      <c r="D261" s="16" t="s">
        <v>96</v>
      </c>
    </row>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 r:id="rId46" ref="D47"/>
    <hyperlink r:id="rId47" ref="D48"/>
    <hyperlink r:id="rId48" ref="D49"/>
    <hyperlink r:id="rId49" ref="D50"/>
    <hyperlink r:id="rId50" ref="D51"/>
    <hyperlink r:id="rId51" ref="D52"/>
    <hyperlink r:id="rId52" ref="D53"/>
    <hyperlink r:id="rId53" ref="D54"/>
    <hyperlink r:id="rId54" ref="D55"/>
    <hyperlink r:id="rId55" ref="D56"/>
    <hyperlink r:id="rId56" ref="D57"/>
    <hyperlink r:id="rId57" ref="D58"/>
    <hyperlink r:id="rId58" ref="D59"/>
    <hyperlink r:id="rId59" ref="D60"/>
    <hyperlink r:id="rId60" ref="D61"/>
    <hyperlink r:id="rId61" ref="D62"/>
    <hyperlink r:id="rId62" ref="D63"/>
    <hyperlink r:id="rId63" ref="D64"/>
    <hyperlink r:id="rId64" ref="D65"/>
    <hyperlink r:id="rId65" ref="D66"/>
    <hyperlink r:id="rId66" ref="D67"/>
    <hyperlink r:id="rId67" ref="D68"/>
    <hyperlink r:id="rId68" ref="D69"/>
    <hyperlink r:id="rId69" ref="D70"/>
    <hyperlink r:id="rId70" ref="D71"/>
    <hyperlink r:id="rId71" ref="D72"/>
    <hyperlink r:id="rId72" ref="D73"/>
    <hyperlink r:id="rId73" ref="D74"/>
    <hyperlink r:id="rId74" ref="D75"/>
    <hyperlink r:id="rId75" ref="D76"/>
    <hyperlink r:id="rId76" ref="D77"/>
    <hyperlink r:id="rId77" ref="D78"/>
    <hyperlink r:id="rId78" ref="D79"/>
    <hyperlink r:id="rId79" ref="D80"/>
    <hyperlink r:id="rId80" ref="D81"/>
    <hyperlink r:id="rId81" ref="D82"/>
    <hyperlink r:id="rId82" ref="D83"/>
    <hyperlink r:id="rId83" ref="D84"/>
    <hyperlink r:id="rId84" ref="D85"/>
    <hyperlink r:id="rId85" ref="D86"/>
    <hyperlink r:id="rId86" ref="D87"/>
    <hyperlink r:id="rId87" ref="D88"/>
    <hyperlink r:id="rId88" ref="D89"/>
    <hyperlink r:id="rId89" ref="D90"/>
    <hyperlink r:id="rId90" ref="D91"/>
    <hyperlink r:id="rId91" ref="D92"/>
    <hyperlink r:id="rId92" ref="D93"/>
    <hyperlink r:id="rId93" ref="D94"/>
    <hyperlink r:id="rId94" ref="D95"/>
    <hyperlink r:id="rId95" ref="D96"/>
    <hyperlink r:id="rId96" ref="D97"/>
    <hyperlink r:id="rId97" ref="D98"/>
    <hyperlink r:id="rId98" ref="D99"/>
    <hyperlink r:id="rId99" ref="D100"/>
    <hyperlink r:id="rId100" ref="D101"/>
    <hyperlink r:id="rId101" ref="D102"/>
    <hyperlink r:id="rId102" ref="D103"/>
    <hyperlink r:id="rId103" ref="D104"/>
    <hyperlink r:id="rId104" ref="D105"/>
    <hyperlink r:id="rId105" ref="D106"/>
    <hyperlink r:id="rId106" ref="D107"/>
    <hyperlink r:id="rId107" ref="D108"/>
    <hyperlink r:id="rId108" ref="D109"/>
    <hyperlink r:id="rId109" ref="D110"/>
    <hyperlink r:id="rId110" ref="D111"/>
    <hyperlink r:id="rId111" ref="D112"/>
    <hyperlink r:id="rId112" ref="D113"/>
    <hyperlink r:id="rId113" ref="D114"/>
    <hyperlink r:id="rId114" ref="D115"/>
    <hyperlink r:id="rId115" ref="D116"/>
    <hyperlink r:id="rId116" ref="D117"/>
    <hyperlink r:id="rId117" ref="D118"/>
    <hyperlink r:id="rId118" ref="D119"/>
    <hyperlink r:id="rId119" ref="D120"/>
    <hyperlink r:id="rId120" ref="D121"/>
    <hyperlink r:id="rId121" ref="D122"/>
    <hyperlink r:id="rId122" ref="D123"/>
    <hyperlink r:id="rId123" ref="D124"/>
    <hyperlink r:id="rId124" ref="D125"/>
    <hyperlink r:id="rId125" ref="D126"/>
    <hyperlink r:id="rId126" ref="D127"/>
    <hyperlink r:id="rId127" ref="D128"/>
    <hyperlink r:id="rId128" ref="D129"/>
    <hyperlink r:id="rId129" ref="D130"/>
    <hyperlink r:id="rId130" ref="D131"/>
    <hyperlink r:id="rId131" ref="D132"/>
    <hyperlink r:id="rId132" ref="D133"/>
    <hyperlink r:id="rId133" ref="D134"/>
    <hyperlink r:id="rId134" ref="D135"/>
    <hyperlink r:id="rId135" ref="D136"/>
    <hyperlink r:id="rId136" ref="D137"/>
    <hyperlink r:id="rId137" ref="D138"/>
    <hyperlink r:id="rId138" ref="D139"/>
    <hyperlink r:id="rId139" ref="D140"/>
    <hyperlink r:id="rId140" ref="D141"/>
    <hyperlink r:id="rId141" ref="D142"/>
    <hyperlink r:id="rId142" ref="D143"/>
    <hyperlink r:id="rId143" ref="D144"/>
    <hyperlink r:id="rId144" ref="D145"/>
    <hyperlink r:id="rId145" ref="D146"/>
    <hyperlink r:id="rId146" ref="D147"/>
    <hyperlink r:id="rId147" ref="D148"/>
    <hyperlink r:id="rId148" ref="D149"/>
    <hyperlink r:id="rId149" ref="D150"/>
    <hyperlink r:id="rId150" ref="D151"/>
    <hyperlink r:id="rId151" ref="D152"/>
    <hyperlink r:id="rId152" ref="D153"/>
    <hyperlink r:id="rId153" ref="D154"/>
    <hyperlink r:id="rId154" ref="D155"/>
    <hyperlink r:id="rId155" ref="D156"/>
    <hyperlink r:id="rId156" ref="D157"/>
    <hyperlink r:id="rId157" ref="D158"/>
    <hyperlink r:id="rId158" ref="D159"/>
    <hyperlink r:id="rId159" ref="D160"/>
    <hyperlink r:id="rId160" ref="D161"/>
    <hyperlink r:id="rId161" ref="D162"/>
    <hyperlink r:id="rId162" ref="D163"/>
    <hyperlink r:id="rId163" ref="D164"/>
    <hyperlink r:id="rId164" ref="D165"/>
    <hyperlink r:id="rId165" ref="D166"/>
    <hyperlink r:id="rId166" ref="D167"/>
    <hyperlink r:id="rId167" ref="D168"/>
    <hyperlink r:id="rId168" ref="D169"/>
    <hyperlink r:id="rId169" ref="D170"/>
    <hyperlink r:id="rId170" ref="D171"/>
    <hyperlink r:id="rId171" ref="D172"/>
    <hyperlink r:id="rId172" ref="D173"/>
    <hyperlink r:id="rId173" ref="D174"/>
    <hyperlink r:id="rId174" ref="D175"/>
    <hyperlink r:id="rId175" ref="D176"/>
    <hyperlink r:id="rId176" ref="D177"/>
    <hyperlink r:id="rId177" ref="D178"/>
    <hyperlink r:id="rId178" ref="D179"/>
    <hyperlink r:id="rId179" ref="D180"/>
    <hyperlink r:id="rId180" ref="D181"/>
    <hyperlink r:id="rId181" ref="D182"/>
    <hyperlink r:id="rId182" ref="D183"/>
    <hyperlink r:id="rId183" ref="D184"/>
    <hyperlink r:id="rId184" ref="D185"/>
    <hyperlink r:id="rId185" ref="D186"/>
    <hyperlink r:id="rId186" ref="D187"/>
    <hyperlink r:id="rId187" ref="D188"/>
    <hyperlink r:id="rId188" ref="D189"/>
    <hyperlink r:id="rId189" ref="D190"/>
    <hyperlink r:id="rId190" ref="D191"/>
    <hyperlink r:id="rId191" ref="D192"/>
    <hyperlink r:id="rId192" ref="D193"/>
    <hyperlink r:id="rId193" ref="D194"/>
    <hyperlink r:id="rId194" ref="D195"/>
    <hyperlink r:id="rId195" ref="D196"/>
    <hyperlink r:id="rId196" ref="D197"/>
    <hyperlink r:id="rId197" ref="D198"/>
    <hyperlink r:id="rId198" ref="D199"/>
    <hyperlink r:id="rId199" ref="D200"/>
    <hyperlink r:id="rId200" ref="D201"/>
    <hyperlink r:id="rId201" ref="D202"/>
    <hyperlink r:id="rId202" ref="D203"/>
    <hyperlink r:id="rId203" ref="D204"/>
    <hyperlink r:id="rId204" ref="D205"/>
    <hyperlink r:id="rId205" ref="D206"/>
    <hyperlink r:id="rId206" ref="D207"/>
    <hyperlink r:id="rId207" ref="D208"/>
    <hyperlink r:id="rId208" ref="D209"/>
    <hyperlink r:id="rId209" ref="D210"/>
    <hyperlink r:id="rId210" ref="D211"/>
    <hyperlink r:id="rId211" ref="D212"/>
    <hyperlink r:id="rId212" ref="D213"/>
    <hyperlink r:id="rId213" ref="D214"/>
    <hyperlink r:id="rId214" ref="D215"/>
    <hyperlink r:id="rId215" ref="D216"/>
    <hyperlink r:id="rId216" ref="D217"/>
    <hyperlink r:id="rId217" ref="D218"/>
    <hyperlink r:id="rId218" ref="D219"/>
    <hyperlink r:id="rId219" ref="D220"/>
    <hyperlink r:id="rId220" ref="D221"/>
    <hyperlink r:id="rId221" ref="D222"/>
    <hyperlink r:id="rId222" ref="D223"/>
    <hyperlink r:id="rId223" ref="D224"/>
    <hyperlink r:id="rId224" ref="D225"/>
    <hyperlink r:id="rId225" ref="D226"/>
    <hyperlink r:id="rId226" ref="D227"/>
    <hyperlink r:id="rId227" ref="D228"/>
    <hyperlink r:id="rId228" ref="D229"/>
    <hyperlink r:id="rId229" ref="D230"/>
    <hyperlink r:id="rId230" ref="D231"/>
    <hyperlink r:id="rId231" ref="D232"/>
    <hyperlink r:id="rId232" ref="D233"/>
    <hyperlink r:id="rId233" ref="D234"/>
    <hyperlink r:id="rId234" ref="D235"/>
    <hyperlink r:id="rId235" ref="D236"/>
    <hyperlink r:id="rId236" ref="D237"/>
    <hyperlink r:id="rId237" ref="D238"/>
    <hyperlink r:id="rId238" ref="D239"/>
    <hyperlink r:id="rId239" ref="D240"/>
    <hyperlink r:id="rId240" ref="D241"/>
    <hyperlink r:id="rId241" ref="D242"/>
    <hyperlink r:id="rId242" ref="D243"/>
    <hyperlink r:id="rId243" ref="D244"/>
    <hyperlink r:id="rId244" ref="D245"/>
    <hyperlink r:id="rId245" ref="D246"/>
    <hyperlink r:id="rId246" ref="D247"/>
    <hyperlink r:id="rId247" ref="D248"/>
    <hyperlink r:id="rId248" ref="D249"/>
    <hyperlink r:id="rId249" ref="D250"/>
    <hyperlink r:id="rId250" ref="D251"/>
    <hyperlink r:id="rId251" ref="D252"/>
    <hyperlink r:id="rId252" ref="D253"/>
    <hyperlink r:id="rId253" ref="D254"/>
    <hyperlink r:id="rId254" ref="D255"/>
    <hyperlink r:id="rId255" ref="D256"/>
    <hyperlink r:id="rId256" ref="D257"/>
    <hyperlink r:id="rId257" ref="D258"/>
    <hyperlink r:id="rId258" ref="D259"/>
    <hyperlink r:id="rId259" ref="D260"/>
    <hyperlink r:id="rId260" ref="D261"/>
  </hyperlinks>
  <printOptions/>
  <pageMargins bottom="1.0" footer="0.0" header="0.0" left="0.75" right="0.75" top="1.0"/>
  <pageSetup orientation="landscape"/>
  <drawing r:id="rId261"/>
</worksheet>
</file>